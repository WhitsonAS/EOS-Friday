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erano-my.sharepoint.com/personal/markushays_whitson_com/Documents/eos-friday-post/2021/Week-39/"/>
    </mc:Choice>
  </mc:AlternateContent>
  <xr:revisionPtr revIDLastSave="0" documentId="13_ncr:20001_{2A5E9FB6-7FDB-44A1-9421-8C91F1CD6277}" xr6:coauthVersionLast="47" xr6:coauthVersionMax="47" xr10:uidLastSave="{00000000-0000-0000-0000-000000000000}"/>
  <bookViews>
    <workbookView xWindow="-110" yWindow="-110" windowWidth="19420" windowHeight="10420" xr2:uid="{969D0632-B5A5-453F-A9F0-93C8C23DA146}"/>
  </bookViews>
  <sheets>
    <sheet name="Rachford-Rice-Solution" sheetId="1" r:id="rId1"/>
    <sheet name="RR-Plot-Data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9" i="1" l="1"/>
  <c r="C29" i="1" s="1"/>
  <c r="E29" i="1"/>
  <c r="M29" i="1" s="1"/>
  <c r="D29" i="1"/>
  <c r="M30" i="1" l="1"/>
  <c r="O29" i="1"/>
  <c r="O30" i="1" s="1"/>
  <c r="N29" i="1"/>
  <c r="N30" i="1" s="1"/>
  <c r="L29" i="1"/>
  <c r="D51" i="1" l="1"/>
  <c r="B3" i="4"/>
  <c r="B4" i="4" s="1"/>
  <c r="L30" i="1"/>
  <c r="P29" i="1"/>
  <c r="P30" i="1" s="1"/>
  <c r="D50" i="1"/>
  <c r="Q29" i="1"/>
  <c r="Q30" i="1" s="1"/>
  <c r="H29" i="1" a="1"/>
  <c r="C4" i="4" a="1"/>
  <c r="H29" i="1" l="1"/>
  <c r="C4" i="4"/>
  <c r="B5" i="4"/>
  <c r="C5" i="4" a="1"/>
  <c r="D35" i="1" l="1"/>
  <c r="D46" i="1"/>
  <c r="C5" i="4"/>
  <c r="B6" i="4"/>
  <c r="D36" i="1" a="1"/>
  <c r="C6" i="4" a="1"/>
  <c r="D36" i="1" l="1"/>
  <c r="D38" i="1" s="1"/>
  <c r="C6" i="4"/>
  <c r="B7" i="4"/>
  <c r="C7" i="4" a="1"/>
  <c r="C7" i="4" l="1"/>
  <c r="B8" i="4"/>
  <c r="C8" i="4" a="1"/>
  <c r="C8" i="4" l="1"/>
  <c r="B9" i="4"/>
  <c r="C9" i="4" a="1"/>
  <c r="C9" i="4" l="1"/>
  <c r="B10" i="4"/>
  <c r="C10" i="4" a="1"/>
  <c r="C10" i="4" l="1"/>
  <c r="B11" i="4"/>
  <c r="C11" i="4" a="1"/>
  <c r="C11" i="4" l="1"/>
  <c r="B12" i="4"/>
  <c r="C12" i="4" a="1"/>
  <c r="C12" i="4" l="1"/>
  <c r="B13" i="4"/>
  <c r="C13" i="4" a="1"/>
  <c r="C13" i="4" l="1"/>
  <c r="B14" i="4"/>
  <c r="C14" i="4" a="1"/>
  <c r="C14" i="4" l="1"/>
  <c r="B15" i="4"/>
  <c r="C15" i="4" a="1"/>
  <c r="C15" i="4" l="1"/>
  <c r="B16" i="4"/>
  <c r="C16" i="4" a="1"/>
  <c r="C16" i="4" l="1"/>
  <c r="B17" i="4"/>
  <c r="C17" i="4" a="1"/>
  <c r="C17" i="4" l="1"/>
  <c r="B18" i="4"/>
  <c r="C18" i="4" a="1"/>
  <c r="C18" i="4" l="1"/>
  <c r="B19" i="4"/>
  <c r="C19" i="4" a="1"/>
  <c r="C19" i="4" l="1"/>
  <c r="B20" i="4"/>
  <c r="C20" i="4" a="1"/>
  <c r="C20" i="4" l="1"/>
  <c r="B21" i="4"/>
  <c r="C21" i="4" a="1"/>
  <c r="C21" i="4" l="1"/>
  <c r="B22" i="4"/>
  <c r="C22" i="4" a="1"/>
  <c r="C22" i="4" l="1"/>
  <c r="B23" i="4"/>
  <c r="C23" i="4" a="1"/>
  <c r="C23" i="4" l="1"/>
  <c r="B24" i="4"/>
  <c r="C24" i="4" a="1"/>
  <c r="C24" i="4" l="1"/>
  <c r="B25" i="4"/>
  <c r="C25" i="4" a="1"/>
  <c r="C25" i="4" l="1"/>
  <c r="B26" i="4"/>
  <c r="C26" i="4" a="1"/>
  <c r="C26" i="4" l="1"/>
  <c r="B27" i="4"/>
  <c r="C27" i="4" a="1"/>
  <c r="C27" i="4" l="1"/>
  <c r="B28" i="4"/>
  <c r="C28" i="4" a="1"/>
  <c r="C28" i="4" l="1"/>
  <c r="B29" i="4"/>
  <c r="C29" i="4" a="1"/>
  <c r="C29" i="4" l="1"/>
  <c r="B30" i="4"/>
  <c r="C30" i="4" a="1"/>
  <c r="C30" i="4" l="1"/>
  <c r="B31" i="4"/>
  <c r="C31" i="4" a="1"/>
  <c r="C31" i="4" l="1"/>
  <c r="B32" i="4"/>
  <c r="C32" i="4" a="1"/>
  <c r="C32" i="4" l="1"/>
  <c r="B33" i="4"/>
  <c r="C33" i="4" a="1"/>
  <c r="C33" i="4" l="1"/>
  <c r="B34" i="4"/>
  <c r="C34" i="4" a="1"/>
  <c r="C34" i="4" l="1"/>
  <c r="B35" i="4"/>
  <c r="C35" i="4" a="1"/>
  <c r="C35" i="4" l="1"/>
  <c r="B36" i="4"/>
  <c r="C36" i="4" a="1"/>
  <c r="C36" i="4" l="1"/>
  <c r="B37" i="4"/>
  <c r="C37" i="4" a="1"/>
  <c r="C37" i="4" l="1"/>
  <c r="B38" i="4"/>
  <c r="C38" i="4" a="1"/>
  <c r="C38" i="4" l="1"/>
  <c r="B39" i="4"/>
  <c r="C39" i="4" a="1"/>
  <c r="C39" i="4" l="1"/>
  <c r="B40" i="4"/>
  <c r="C40" i="4" a="1"/>
  <c r="C40" i="4" l="1"/>
  <c r="B41" i="4"/>
  <c r="C41" i="4" a="1"/>
  <c r="C41" i="4" l="1"/>
  <c r="B42" i="4"/>
  <c r="C42" i="4" a="1"/>
  <c r="C42" i="4" l="1"/>
  <c r="B43" i="4"/>
  <c r="C43" i="4" a="1"/>
  <c r="C43" i="4" l="1"/>
  <c r="B44" i="4"/>
  <c r="C44" i="4" a="1"/>
  <c r="C44" i="4" l="1"/>
  <c r="B45" i="4"/>
  <c r="C45" i="4" a="1"/>
  <c r="C45" i="4" l="1"/>
  <c r="B46" i="4"/>
  <c r="C46" i="4" a="1"/>
  <c r="C46" i="4" l="1"/>
  <c r="B47" i="4"/>
  <c r="C47" i="4" a="1"/>
  <c r="C47" i="4" l="1"/>
  <c r="B48" i="4"/>
  <c r="C48" i="4" a="1"/>
  <c r="C48" i="4" l="1"/>
  <c r="B49" i="4"/>
  <c r="C49" i="4" a="1"/>
  <c r="C49" i="4" l="1"/>
  <c r="B50" i="4"/>
  <c r="C50" i="4" a="1"/>
  <c r="C50" i="4" l="1"/>
  <c r="B51" i="4"/>
  <c r="C51" i="4" a="1"/>
  <c r="C51" i="4" l="1"/>
  <c r="B52" i="4"/>
  <c r="C52" i="4" a="1"/>
  <c r="C52" i="4" l="1"/>
  <c r="B53" i="4"/>
  <c r="C53" i="4" a="1"/>
  <c r="C53" i="4" l="1"/>
  <c r="B54" i="4"/>
  <c r="C54" i="4" a="1"/>
  <c r="C54" i="4" l="1"/>
  <c r="B55" i="4"/>
  <c r="C55" i="4" a="1"/>
  <c r="C55" i="4" l="1"/>
  <c r="B56" i="4"/>
  <c r="C56" i="4" a="1"/>
  <c r="C56" i="4" l="1"/>
  <c r="B57" i="4"/>
  <c r="C57" i="4" a="1"/>
  <c r="C57" i="4" l="1"/>
  <c r="B58" i="4"/>
  <c r="C58" i="4" a="1"/>
  <c r="C58" i="4" l="1"/>
  <c r="B59" i="4"/>
  <c r="C59" i="4" a="1"/>
  <c r="C59" i="4" l="1"/>
  <c r="B60" i="4"/>
  <c r="C60" i="4" a="1"/>
  <c r="C60" i="4" l="1"/>
  <c r="B61" i="4"/>
  <c r="C61" i="4" a="1"/>
  <c r="C61" i="4" l="1"/>
  <c r="B62" i="4"/>
  <c r="C62" i="4" a="1"/>
  <c r="C62" i="4" l="1"/>
  <c r="B63" i="4"/>
  <c r="C63" i="4" a="1"/>
  <c r="C63" i="4" l="1"/>
  <c r="B64" i="4"/>
  <c r="C64" i="4" a="1"/>
  <c r="C64" i="4" l="1"/>
  <c r="B65" i="4"/>
  <c r="C65" i="4" a="1"/>
  <c r="C65" i="4" l="1"/>
  <c r="B66" i="4"/>
  <c r="C66" i="4" a="1"/>
  <c r="C66" i="4" l="1"/>
  <c r="B67" i="4"/>
  <c r="C67" i="4" a="1"/>
  <c r="C67" i="4" l="1"/>
  <c r="B68" i="4"/>
  <c r="C68" i="4" a="1"/>
  <c r="C68" i="4" l="1"/>
  <c r="B69" i="4"/>
  <c r="C69" i="4" a="1"/>
  <c r="C69" i="4" l="1"/>
  <c r="B70" i="4"/>
  <c r="C70" i="4" a="1"/>
  <c r="C70" i="4" l="1"/>
  <c r="B71" i="4"/>
  <c r="C71" i="4" a="1"/>
  <c r="C71" i="4" l="1"/>
  <c r="B72" i="4"/>
  <c r="C72" i="4" a="1"/>
  <c r="C72" i="4" l="1"/>
  <c r="B73" i="4"/>
  <c r="C73" i="4" a="1"/>
  <c r="C73" i="4" l="1"/>
  <c r="B74" i="4"/>
  <c r="C74" i="4" a="1"/>
  <c r="C74" i="4" l="1"/>
  <c r="B75" i="4"/>
  <c r="C75" i="4" a="1"/>
  <c r="C75" i="4" l="1"/>
  <c r="B76" i="4"/>
  <c r="C76" i="4" a="1"/>
  <c r="C76" i="4" l="1"/>
  <c r="B77" i="4"/>
  <c r="C77" i="4" a="1"/>
  <c r="C77" i="4" l="1"/>
  <c r="B78" i="4"/>
  <c r="C78" i="4" a="1"/>
  <c r="C78" i="4" l="1"/>
  <c r="B79" i="4"/>
  <c r="C79" i="4" a="1"/>
  <c r="C79" i="4" l="1"/>
  <c r="B80" i="4"/>
  <c r="C80" i="4" a="1"/>
  <c r="C80" i="4" l="1"/>
  <c r="B81" i="4"/>
  <c r="C81" i="4" a="1"/>
  <c r="C81" i="4" l="1"/>
  <c r="B82" i="4"/>
  <c r="C82" i="4" a="1"/>
  <c r="C82" i="4" l="1"/>
  <c r="B83" i="4"/>
  <c r="C83" i="4" a="1"/>
  <c r="C83" i="4" l="1"/>
  <c r="B84" i="4"/>
  <c r="C84" i="4" a="1"/>
  <c r="C84" i="4" l="1"/>
  <c r="B85" i="4"/>
  <c r="C85" i="4" a="1"/>
  <c r="C85" i="4" l="1"/>
  <c r="B86" i="4"/>
  <c r="C86" i="4" a="1"/>
  <c r="C86" i="4" l="1"/>
  <c r="B87" i="4"/>
  <c r="C87" i="4" a="1"/>
  <c r="C87" i="4" l="1"/>
  <c r="B88" i="4"/>
  <c r="C88" i="4" a="1"/>
  <c r="C88" i="4" l="1"/>
  <c r="B89" i="4"/>
  <c r="C89" i="4" a="1"/>
  <c r="C89" i="4" l="1"/>
  <c r="B90" i="4"/>
  <c r="C90" i="4" a="1"/>
  <c r="C90" i="4" l="1"/>
  <c r="B91" i="4"/>
  <c r="C91" i="4" a="1"/>
  <c r="C91" i="4" l="1"/>
  <c r="B92" i="4"/>
  <c r="C92" i="4" a="1"/>
  <c r="C92" i="4" l="1"/>
  <c r="B93" i="4"/>
  <c r="C93" i="4" a="1"/>
  <c r="C93" i="4" l="1"/>
  <c r="B94" i="4"/>
  <c r="C94" i="4" a="1"/>
  <c r="C94" i="4" l="1"/>
  <c r="B95" i="4"/>
  <c r="C95" i="4" a="1"/>
  <c r="C95" i="4" l="1"/>
  <c r="B96" i="4"/>
  <c r="C96" i="4" a="1"/>
  <c r="C96" i="4" l="1"/>
  <c r="B97" i="4"/>
  <c r="C97" i="4" a="1"/>
  <c r="C97" i="4" l="1"/>
  <c r="B98" i="4"/>
  <c r="C98" i="4" a="1"/>
  <c r="C98" i="4" l="1"/>
  <c r="B99" i="4"/>
  <c r="C99" i="4" a="1"/>
  <c r="C99" i="4" l="1"/>
  <c r="B100" i="4"/>
  <c r="C100" i="4" a="1"/>
  <c r="C100" i="4" l="1"/>
  <c r="B101" i="4"/>
  <c r="C101" i="4" a="1"/>
  <c r="C101" i="4" l="1"/>
  <c r="B102" i="4"/>
  <c r="C102" i="4" a="1"/>
  <c r="C102" i="4" l="1"/>
  <c r="B103" i="4"/>
  <c r="C103" i="4" a="1"/>
  <c r="C103" i="4" l="1"/>
  <c r="B104" i="4"/>
  <c r="C104" i="4" a="1"/>
  <c r="C104" i="4" l="1"/>
  <c r="B105" i="4"/>
  <c r="C105" i="4" a="1"/>
  <c r="C105" i="4" l="1"/>
  <c r="B106" i="4"/>
  <c r="C106" i="4" a="1"/>
  <c r="C106" i="4" l="1"/>
  <c r="B107" i="4"/>
  <c r="C107" i="4" a="1"/>
  <c r="C107" i="4" l="1"/>
  <c r="B108" i="4"/>
  <c r="C108" i="4" a="1"/>
  <c r="C108" i="4" l="1"/>
  <c r="B109" i="4"/>
  <c r="C109" i="4" a="1"/>
  <c r="C109" i="4" l="1"/>
  <c r="B110" i="4"/>
  <c r="C110" i="4" a="1"/>
  <c r="C110" i="4" l="1"/>
  <c r="B111" i="4"/>
  <c r="C111" i="4" a="1"/>
  <c r="C111" i="4" l="1"/>
  <c r="B112" i="4"/>
  <c r="C112" i="4" a="1"/>
  <c r="C112" i="4" l="1"/>
  <c r="B113" i="4"/>
  <c r="C113" i="4" a="1"/>
  <c r="C113" i="4" l="1"/>
  <c r="B114" i="4"/>
  <c r="C114" i="4" a="1"/>
  <c r="C114" i="4" l="1"/>
  <c r="B115" i="4"/>
  <c r="C115" i="4" a="1"/>
  <c r="C115" i="4" l="1"/>
  <c r="B116" i="4"/>
  <c r="C116" i="4" a="1"/>
  <c r="C116" i="4" l="1"/>
  <c r="B117" i="4"/>
  <c r="C117" i="4" a="1"/>
  <c r="C117" i="4" l="1"/>
  <c r="B118" i="4"/>
  <c r="C118" i="4" a="1"/>
  <c r="C118" i="4" l="1"/>
  <c r="B119" i="4"/>
  <c r="C119" i="4" a="1"/>
  <c r="C119" i="4" l="1"/>
  <c r="B120" i="4"/>
  <c r="C120" i="4" a="1"/>
  <c r="C120" i="4" l="1"/>
  <c r="B121" i="4"/>
  <c r="C121" i="4" a="1"/>
  <c r="C121" i="4" l="1"/>
  <c r="B122" i="4"/>
  <c r="C122" i="4" a="1"/>
  <c r="C122" i="4" l="1"/>
  <c r="B123" i="4"/>
  <c r="C123" i="4" a="1"/>
  <c r="C123" i="4" l="1"/>
  <c r="B124" i="4"/>
  <c r="C124" i="4" a="1"/>
  <c r="C124" i="4" l="1"/>
  <c r="B125" i="4"/>
  <c r="C125" i="4" a="1"/>
  <c r="C125" i="4" l="1"/>
  <c r="B126" i="4"/>
  <c r="C126" i="4" a="1"/>
  <c r="C126" i="4" l="1"/>
  <c r="B127" i="4"/>
  <c r="C127" i="4" a="1"/>
  <c r="C127" i="4" l="1"/>
  <c r="B128" i="4"/>
  <c r="C128" i="4" a="1"/>
  <c r="C128" i="4" l="1"/>
  <c r="B129" i="4"/>
  <c r="C129" i="4" a="1"/>
  <c r="C129" i="4" l="1"/>
  <c r="B130" i="4"/>
  <c r="C130" i="4" a="1"/>
  <c r="C130" i="4" l="1"/>
  <c r="B131" i="4"/>
  <c r="C131" i="4" a="1"/>
  <c r="C131" i="4" l="1"/>
  <c r="B132" i="4"/>
  <c r="C132" i="4" a="1"/>
  <c r="C132" i="4" l="1"/>
  <c r="B133" i="4"/>
  <c r="C133" i="4" a="1"/>
  <c r="C133" i="4" l="1"/>
  <c r="B134" i="4"/>
  <c r="C134" i="4" a="1"/>
  <c r="C134" i="4" l="1"/>
  <c r="B135" i="4"/>
  <c r="C135" i="4" a="1"/>
  <c r="C135" i="4" l="1"/>
  <c r="B136" i="4"/>
  <c r="C136" i="4" a="1"/>
  <c r="C136" i="4" l="1"/>
  <c r="B137" i="4"/>
  <c r="C137" i="4" a="1"/>
  <c r="C137" i="4" l="1"/>
  <c r="B138" i="4"/>
  <c r="C138" i="4" a="1"/>
  <c r="C138" i="4" l="1"/>
  <c r="B139" i="4"/>
  <c r="C139" i="4" a="1"/>
  <c r="C139" i="4" l="1"/>
  <c r="B140" i="4"/>
  <c r="C140" i="4" a="1"/>
  <c r="C140" i="4" l="1"/>
  <c r="B141" i="4"/>
  <c r="C141" i="4" a="1"/>
  <c r="C141" i="4" l="1"/>
  <c r="B142" i="4"/>
  <c r="C142" i="4" a="1"/>
  <c r="C142" i="4" l="1"/>
  <c r="B143" i="4"/>
  <c r="C143" i="4" a="1"/>
  <c r="C143" i="4" l="1"/>
  <c r="B144" i="4"/>
  <c r="C144" i="4" a="1"/>
  <c r="C144" i="4" l="1"/>
  <c r="B145" i="4"/>
  <c r="C145" i="4" a="1"/>
  <c r="C145" i="4" l="1"/>
  <c r="B146" i="4"/>
  <c r="C146" i="4" a="1"/>
  <c r="C146" i="4" l="1"/>
  <c r="B147" i="4"/>
  <c r="C147" i="4" a="1"/>
  <c r="C147" i="4" l="1"/>
  <c r="B148" i="4"/>
  <c r="C148" i="4" a="1"/>
  <c r="C148" i="4" l="1"/>
  <c r="B149" i="4"/>
  <c r="C149" i="4" a="1"/>
  <c r="C149" i="4" l="1"/>
  <c r="B150" i="4"/>
  <c r="C150" i="4" a="1"/>
  <c r="C150" i="4" l="1"/>
  <c r="B151" i="4"/>
  <c r="C151" i="4" a="1"/>
  <c r="C151" i="4" l="1"/>
  <c r="B152" i="4"/>
  <c r="C152" i="4" a="1"/>
  <c r="C152" i="4" l="1"/>
  <c r="B153" i="4"/>
  <c r="C153" i="4" a="1"/>
  <c r="C153" i="4" l="1"/>
  <c r="B154" i="4"/>
  <c r="C154" i="4" a="1"/>
  <c r="C154" i="4" l="1"/>
  <c r="B155" i="4"/>
  <c r="C155" i="4" a="1"/>
  <c r="C155" i="4" l="1"/>
  <c r="B156" i="4"/>
  <c r="C156" i="4" a="1"/>
  <c r="C156" i="4" l="1"/>
  <c r="B157" i="4"/>
  <c r="C157" i="4" a="1"/>
  <c r="C157" i="4" l="1"/>
  <c r="B158" i="4"/>
  <c r="C158" i="4" a="1"/>
  <c r="C158" i="4" l="1"/>
  <c r="B159" i="4"/>
  <c r="C159" i="4" a="1"/>
  <c r="C159" i="4" l="1"/>
  <c r="B160" i="4"/>
  <c r="C160" i="4" a="1"/>
  <c r="C160" i="4" l="1"/>
  <c r="B161" i="4"/>
  <c r="C161" i="4" a="1"/>
  <c r="C161" i="4" l="1"/>
  <c r="B162" i="4"/>
  <c r="C162" i="4" a="1"/>
  <c r="C162" i="4" l="1"/>
  <c r="B163" i="4"/>
  <c r="C163" i="4" a="1"/>
  <c r="C163" i="4" l="1"/>
  <c r="B164" i="4"/>
  <c r="C164" i="4" a="1"/>
  <c r="C164" i="4" l="1"/>
  <c r="B165" i="4"/>
  <c r="C165" i="4" a="1"/>
  <c r="C165" i="4" l="1"/>
  <c r="B166" i="4"/>
  <c r="C166" i="4" a="1"/>
  <c r="C166" i="4" l="1"/>
  <c r="B167" i="4"/>
  <c r="C167" i="4" a="1"/>
  <c r="C167" i="4" l="1"/>
  <c r="B168" i="4"/>
  <c r="C168" i="4" a="1"/>
  <c r="C168" i="4" l="1"/>
  <c r="B169" i="4"/>
  <c r="C169" i="4" a="1"/>
  <c r="C169" i="4" l="1"/>
  <c r="B170" i="4"/>
  <c r="C170" i="4" a="1"/>
  <c r="C170" i="4" l="1"/>
  <c r="B171" i="4"/>
  <c r="C171" i="4" a="1"/>
  <c r="C171" i="4" l="1"/>
  <c r="B172" i="4"/>
  <c r="C172" i="4" a="1"/>
  <c r="C172" i="4" l="1"/>
  <c r="B173" i="4"/>
  <c r="C173" i="4" a="1"/>
  <c r="C173" i="4" l="1"/>
  <c r="B174" i="4"/>
  <c r="C174" i="4" a="1"/>
  <c r="C174" i="4" l="1"/>
  <c r="B175" i="4"/>
  <c r="C175" i="4" a="1"/>
  <c r="C175" i="4" l="1"/>
  <c r="B176" i="4"/>
  <c r="C176" i="4" a="1"/>
  <c r="C176" i="4" l="1"/>
  <c r="B177" i="4"/>
  <c r="C177" i="4" a="1"/>
  <c r="C177" i="4" l="1"/>
  <c r="B178" i="4"/>
  <c r="C178" i="4" a="1"/>
  <c r="C178" i="4" l="1"/>
  <c r="B179" i="4"/>
  <c r="C179" i="4" a="1"/>
  <c r="C179" i="4" l="1"/>
  <c r="B180" i="4"/>
  <c r="C180" i="4" a="1"/>
  <c r="C180" i="4" l="1"/>
  <c r="B181" i="4"/>
  <c r="C181" i="4" a="1"/>
  <c r="C181" i="4" l="1"/>
  <c r="B182" i="4"/>
  <c r="C182" i="4" a="1"/>
  <c r="C182" i="4" l="1"/>
  <c r="B183" i="4"/>
  <c r="C183" i="4" a="1"/>
  <c r="C183" i="4" l="1"/>
  <c r="B184" i="4"/>
  <c r="C184" i="4" a="1"/>
  <c r="C184" i="4" l="1"/>
  <c r="B185" i="4"/>
  <c r="C185" i="4" a="1"/>
  <c r="C185" i="4" l="1"/>
  <c r="B186" i="4"/>
  <c r="C186" i="4" a="1"/>
  <c r="C186" i="4" l="1"/>
  <c r="B187" i="4"/>
  <c r="C187" i="4" a="1"/>
  <c r="C187" i="4" l="1"/>
  <c r="B188" i="4"/>
  <c r="C188" i="4" a="1"/>
  <c r="C188" i="4" l="1"/>
  <c r="B189" i="4"/>
  <c r="C189" i="4" a="1"/>
  <c r="C189" i="4" l="1"/>
  <c r="B190" i="4"/>
  <c r="C190" i="4" a="1"/>
  <c r="C190" i="4" l="1"/>
  <c r="B191" i="4"/>
  <c r="C191" i="4" a="1"/>
  <c r="C191" i="4" l="1"/>
  <c r="B192" i="4"/>
  <c r="C192" i="4" a="1"/>
  <c r="C192" i="4" l="1"/>
  <c r="B193" i="4"/>
  <c r="C193" i="4" a="1"/>
  <c r="C193" i="4" l="1"/>
  <c r="B194" i="4"/>
  <c r="C194" i="4" a="1"/>
  <c r="C194" i="4" l="1"/>
  <c r="B195" i="4"/>
  <c r="C195" i="4" a="1"/>
  <c r="C195" i="4" l="1"/>
  <c r="B196" i="4"/>
  <c r="C196" i="4" a="1"/>
  <c r="C196" i="4" l="1"/>
  <c r="B197" i="4"/>
  <c r="C197" i="4" a="1"/>
  <c r="C197" i="4" l="1"/>
  <c r="B198" i="4"/>
  <c r="C198" i="4" a="1"/>
  <c r="C198" i="4" l="1"/>
  <c r="B199" i="4"/>
  <c r="C199" i="4" a="1"/>
  <c r="C199" i="4" l="1"/>
  <c r="B200" i="4"/>
  <c r="C200" i="4" a="1"/>
  <c r="C200" i="4" l="1"/>
  <c r="B201" i="4"/>
  <c r="C201" i="4" a="1"/>
  <c r="C201" i="4" l="1"/>
  <c r="B202" i="4"/>
  <c r="C202" i="4" a="1"/>
  <c r="C202" i="4" l="1"/>
  <c r="B203" i="4"/>
  <c r="C203" i="4" a="1"/>
  <c r="C203" i="4" l="1"/>
  <c r="B204" i="4"/>
  <c r="C204" i="4" a="1"/>
  <c r="C204" i="4" l="1"/>
  <c r="B205" i="4"/>
  <c r="C205" i="4" a="1"/>
  <c r="C205" i="4" l="1"/>
  <c r="B206" i="4"/>
  <c r="C206" i="4" a="1"/>
  <c r="C206" i="4" l="1"/>
  <c r="B207" i="4"/>
  <c r="C207" i="4" a="1"/>
  <c r="C207" i="4" l="1"/>
  <c r="B208" i="4"/>
  <c r="C208" i="4" a="1"/>
  <c r="C208" i="4" l="1"/>
  <c r="B209" i="4"/>
  <c r="C209" i="4" a="1"/>
  <c r="C209" i="4" l="1"/>
  <c r="B210" i="4"/>
  <c r="C210" i="4" a="1"/>
  <c r="C210" i="4" l="1"/>
  <c r="B211" i="4"/>
  <c r="C211" i="4" a="1"/>
  <c r="C211" i="4" l="1"/>
  <c r="B212" i="4"/>
  <c r="C212" i="4" a="1"/>
  <c r="C212" i="4" l="1"/>
  <c r="B213" i="4"/>
  <c r="C213" i="4" a="1"/>
  <c r="C213" i="4" l="1"/>
  <c r="B214" i="4"/>
  <c r="C214" i="4" a="1"/>
  <c r="C214" i="4" l="1"/>
  <c r="B215" i="4"/>
  <c r="C215" i="4" a="1"/>
  <c r="C215" i="4" l="1"/>
  <c r="B216" i="4"/>
  <c r="C216" i="4" a="1"/>
  <c r="C216" i="4" l="1"/>
  <c r="B217" i="4"/>
  <c r="C217" i="4" a="1"/>
  <c r="C217" i="4" l="1"/>
  <c r="B218" i="4"/>
  <c r="C218" i="4" a="1"/>
  <c r="C218" i="4" l="1"/>
  <c r="B219" i="4"/>
  <c r="C219" i="4" a="1"/>
  <c r="C219" i="4" l="1"/>
  <c r="B220" i="4"/>
  <c r="C220" i="4" a="1"/>
  <c r="C220" i="4" l="1"/>
  <c r="B221" i="4"/>
  <c r="C221" i="4" a="1"/>
  <c r="C221" i="4" l="1"/>
  <c r="B222" i="4"/>
  <c r="C222" i="4" a="1"/>
  <c r="C222" i="4" l="1"/>
  <c r="B223" i="4"/>
  <c r="C223" i="4" a="1"/>
  <c r="C223" i="4" l="1"/>
  <c r="B224" i="4"/>
  <c r="C224" i="4" a="1"/>
  <c r="C224" i="4" l="1"/>
  <c r="B225" i="4"/>
  <c r="C225" i="4" a="1"/>
  <c r="C225" i="4" l="1"/>
  <c r="B226" i="4"/>
  <c r="C226" i="4" a="1"/>
  <c r="C226" i="4" l="1"/>
  <c r="B227" i="4"/>
  <c r="C227" i="4" a="1"/>
  <c r="C227" i="4" l="1"/>
  <c r="B228" i="4"/>
  <c r="C228" i="4" a="1"/>
  <c r="C228" i="4" l="1"/>
  <c r="B229" i="4"/>
  <c r="C229" i="4" a="1"/>
  <c r="C229" i="4" l="1"/>
  <c r="B230" i="4"/>
  <c r="C230" i="4" a="1"/>
  <c r="C230" i="4" l="1"/>
  <c r="B231" i="4"/>
  <c r="C231" i="4" a="1"/>
  <c r="C231" i="4" l="1"/>
  <c r="B232" i="4"/>
  <c r="C232" i="4" a="1"/>
  <c r="C232" i="4" l="1"/>
  <c r="B233" i="4"/>
  <c r="C233" i="4" a="1"/>
  <c r="C233" i="4" l="1"/>
  <c r="B234" i="4"/>
  <c r="C234" i="4" a="1"/>
  <c r="C234" i="4" l="1"/>
  <c r="B235" i="4"/>
  <c r="C235" i="4" a="1"/>
  <c r="C235" i="4" l="1"/>
  <c r="B236" i="4"/>
  <c r="C236" i="4" a="1"/>
  <c r="C236" i="4" l="1"/>
  <c r="B237" i="4"/>
  <c r="C237" i="4" a="1"/>
  <c r="C237" i="4" l="1"/>
  <c r="B238" i="4"/>
  <c r="C238" i="4" a="1"/>
  <c r="C238" i="4" l="1"/>
  <c r="B239" i="4"/>
  <c r="C239" i="4" a="1"/>
  <c r="C239" i="4" l="1"/>
  <c r="B240" i="4"/>
  <c r="C240" i="4" a="1"/>
  <c r="C240" i="4" l="1"/>
  <c r="B241" i="4"/>
  <c r="C241" i="4" a="1"/>
  <c r="C241" i="4" l="1"/>
  <c r="B242" i="4"/>
  <c r="C242" i="4" a="1"/>
  <c r="C242" i="4" l="1"/>
  <c r="B243" i="4"/>
  <c r="C243" i="4" a="1"/>
  <c r="C243" i="4" l="1"/>
  <c r="B244" i="4"/>
  <c r="C244" i="4" a="1"/>
  <c r="C244" i="4" l="1"/>
  <c r="B245" i="4"/>
  <c r="C245" i="4" a="1"/>
  <c r="C245" i="4" l="1"/>
  <c r="B246" i="4"/>
  <c r="C246" i="4" a="1"/>
  <c r="C246" i="4" l="1"/>
  <c r="B247" i="4"/>
  <c r="C247" i="4" a="1"/>
  <c r="C247" i="4" l="1"/>
  <c r="B248" i="4"/>
  <c r="C248" i="4" a="1"/>
  <c r="C248" i="4" l="1"/>
  <c r="B249" i="4"/>
  <c r="C249" i="4" a="1"/>
  <c r="C249" i="4" l="1"/>
  <c r="B250" i="4"/>
  <c r="C250" i="4" a="1"/>
  <c r="C250" i="4" l="1"/>
  <c r="B251" i="4"/>
  <c r="C251" i="4" a="1"/>
  <c r="C251" i="4" l="1"/>
  <c r="B252" i="4"/>
  <c r="C252" i="4" a="1"/>
  <c r="C252" i="4" l="1"/>
  <c r="B253" i="4"/>
  <c r="C253" i="4" a="1"/>
  <c r="C253" i="4" l="1"/>
  <c r="B254" i="4"/>
  <c r="C254" i="4" a="1"/>
  <c r="C254" i="4" l="1"/>
  <c r="B255" i="4"/>
  <c r="C255" i="4" a="1"/>
  <c r="C255" i="4" l="1"/>
  <c r="B256" i="4"/>
  <c r="C256" i="4" a="1"/>
  <c r="C256" i="4" l="1"/>
  <c r="B257" i="4"/>
  <c r="C257" i="4" a="1"/>
  <c r="C257" i="4" l="1"/>
  <c r="B258" i="4"/>
  <c r="C258" i="4" a="1"/>
  <c r="C258" i="4" l="1"/>
  <c r="B259" i="4"/>
  <c r="C259" i="4" a="1"/>
  <c r="C259" i="4" l="1"/>
  <c r="B260" i="4"/>
  <c r="C260" i="4" a="1"/>
  <c r="C260" i="4" l="1"/>
  <c r="B261" i="4"/>
  <c r="C261" i="4" a="1"/>
  <c r="C261" i="4" l="1"/>
  <c r="B262" i="4"/>
  <c r="C262" i="4" a="1"/>
  <c r="C262" i="4" l="1"/>
  <c r="B263" i="4"/>
  <c r="C263" i="4" a="1"/>
  <c r="C263" i="4" l="1"/>
  <c r="B264" i="4"/>
  <c r="C264" i="4" a="1"/>
  <c r="C264" i="4" l="1"/>
  <c r="B265" i="4"/>
  <c r="C265" i="4" a="1"/>
  <c r="C265" i="4" l="1"/>
  <c r="B266" i="4"/>
  <c r="C266" i="4" a="1"/>
  <c r="C266" i="4" l="1"/>
  <c r="B267" i="4"/>
  <c r="C267" i="4" a="1"/>
  <c r="C267" i="4" l="1"/>
  <c r="B268" i="4"/>
  <c r="C268" i="4" a="1"/>
  <c r="C268" i="4" l="1"/>
  <c r="B269" i="4"/>
  <c r="C269" i="4" a="1"/>
  <c r="C269" i="4" l="1"/>
  <c r="B270" i="4"/>
  <c r="C270" i="4" a="1"/>
  <c r="C270" i="4" l="1"/>
  <c r="B271" i="4"/>
  <c r="C271" i="4" a="1"/>
  <c r="C271" i="4" l="1"/>
  <c r="B272" i="4"/>
  <c r="C272" i="4" a="1"/>
  <c r="C272" i="4" l="1"/>
  <c r="B273" i="4"/>
  <c r="C273" i="4" a="1"/>
  <c r="C273" i="4" l="1"/>
  <c r="B274" i="4"/>
  <c r="C274" i="4" a="1"/>
  <c r="C274" i="4" l="1"/>
  <c r="B275" i="4"/>
  <c r="C275" i="4" a="1"/>
  <c r="C275" i="4" l="1"/>
  <c r="B276" i="4"/>
  <c r="C276" i="4" a="1"/>
  <c r="C276" i="4" l="1"/>
  <c r="B277" i="4"/>
  <c r="C277" i="4" a="1"/>
  <c r="C277" i="4" l="1"/>
  <c r="B278" i="4"/>
  <c r="C278" i="4" a="1"/>
  <c r="C278" i="4" l="1"/>
  <c r="B279" i="4"/>
  <c r="C279" i="4" a="1"/>
  <c r="C279" i="4" l="1"/>
  <c r="B280" i="4"/>
  <c r="C280" i="4" a="1"/>
  <c r="C280" i="4" l="1"/>
  <c r="B281" i="4"/>
  <c r="C281" i="4" a="1"/>
  <c r="C281" i="4" l="1"/>
  <c r="B282" i="4"/>
  <c r="C282" i="4" a="1"/>
  <c r="C282" i="4" l="1"/>
  <c r="B283" i="4"/>
  <c r="C283" i="4" a="1"/>
  <c r="C283" i="4" l="1"/>
  <c r="B284" i="4"/>
  <c r="C284" i="4" a="1"/>
  <c r="C284" i="4" l="1"/>
  <c r="B285" i="4"/>
  <c r="C285" i="4" a="1"/>
  <c r="C285" i="4" l="1"/>
  <c r="B286" i="4"/>
  <c r="C286" i="4" a="1"/>
  <c r="C286" i="4" l="1"/>
  <c r="B287" i="4"/>
  <c r="C287" i="4" a="1"/>
  <c r="C287" i="4" l="1"/>
  <c r="B288" i="4"/>
  <c r="C288" i="4" a="1"/>
  <c r="C288" i="4" l="1"/>
  <c r="B289" i="4"/>
  <c r="C289" i="4" a="1"/>
  <c r="C289" i="4" l="1"/>
  <c r="B290" i="4"/>
  <c r="C290" i="4" a="1"/>
  <c r="C290" i="4" l="1"/>
  <c r="B291" i="4"/>
  <c r="C291" i="4" a="1"/>
  <c r="C291" i="4" l="1"/>
  <c r="B292" i="4"/>
  <c r="C292" i="4" a="1"/>
  <c r="C292" i="4" l="1"/>
  <c r="B293" i="4"/>
  <c r="C293" i="4" a="1"/>
  <c r="C293" i="4" l="1"/>
  <c r="B294" i="4"/>
  <c r="C294" i="4" a="1"/>
  <c r="C294" i="4" l="1"/>
  <c r="B295" i="4"/>
  <c r="C295" i="4" a="1"/>
  <c r="C295" i="4" l="1"/>
  <c r="B296" i="4"/>
  <c r="C296" i="4" a="1"/>
  <c r="C296" i="4" l="1"/>
  <c r="B297" i="4"/>
  <c r="C297" i="4" a="1"/>
  <c r="C297" i="4" l="1"/>
  <c r="B298" i="4"/>
  <c r="C298" i="4" a="1"/>
  <c r="C298" i="4" l="1"/>
  <c r="B299" i="4"/>
  <c r="C299" i="4" a="1"/>
  <c r="C299" i="4" l="1"/>
  <c r="B300" i="4"/>
  <c r="C300" i="4" a="1"/>
  <c r="C300" i="4" l="1"/>
  <c r="B301" i="4"/>
  <c r="C301" i="4" a="1"/>
  <c r="C301" i="4" l="1"/>
  <c r="B302" i="4"/>
  <c r="C302" i="4" a="1"/>
  <c r="C302" i="4" l="1"/>
  <c r="B303" i="4"/>
  <c r="C303" i="4" a="1"/>
  <c r="C303" i="4" l="1"/>
  <c r="B304" i="4"/>
  <c r="C304" i="4" a="1"/>
  <c r="C304" i="4" l="1"/>
  <c r="B305" i="4"/>
  <c r="C305" i="4" a="1"/>
  <c r="C305" i="4" l="1"/>
  <c r="B306" i="4"/>
  <c r="C306" i="4" a="1"/>
  <c r="C306" i="4" l="1"/>
  <c r="B307" i="4"/>
  <c r="C307" i="4" a="1"/>
  <c r="C307" i="4" l="1"/>
  <c r="B308" i="4"/>
  <c r="C308" i="4" a="1"/>
  <c r="C308" i="4" l="1"/>
  <c r="B309" i="4"/>
  <c r="C309" i="4" a="1"/>
  <c r="C309" i="4" l="1"/>
  <c r="B310" i="4"/>
  <c r="C310" i="4" a="1"/>
  <c r="C310" i="4" l="1"/>
  <c r="B311" i="4"/>
  <c r="C311" i="4" a="1"/>
  <c r="C311" i="4" l="1"/>
  <c r="B312" i="4"/>
  <c r="C312" i="4" a="1"/>
  <c r="C312" i="4" l="1"/>
  <c r="B313" i="4"/>
  <c r="C313" i="4" a="1"/>
  <c r="C313" i="4" l="1"/>
  <c r="B314" i="4"/>
  <c r="C314" i="4" a="1"/>
  <c r="C314" i="4" l="1"/>
  <c r="B315" i="4"/>
  <c r="C315" i="4" a="1"/>
  <c r="C315" i="4" l="1"/>
  <c r="B316" i="4"/>
  <c r="C316" i="4" a="1"/>
  <c r="C316" i="4" l="1"/>
  <c r="B317" i="4"/>
  <c r="C317" i="4" a="1"/>
  <c r="C317" i="4" l="1"/>
  <c r="B318" i="4"/>
  <c r="C318" i="4" a="1"/>
  <c r="C318" i="4" l="1"/>
  <c r="B319" i="4"/>
  <c r="C319" i="4" a="1"/>
  <c r="C319" i="4" l="1"/>
  <c r="B320" i="4"/>
  <c r="C320" i="4" a="1"/>
  <c r="C320" i="4" l="1"/>
  <c r="B321" i="4"/>
  <c r="C321" i="4" a="1"/>
  <c r="C321" i="4" l="1"/>
  <c r="B322" i="4"/>
  <c r="C322" i="4" a="1"/>
  <c r="C322" i="4" l="1"/>
  <c r="B323" i="4"/>
  <c r="C323" i="4" a="1"/>
  <c r="C323" i="4" l="1"/>
  <c r="B324" i="4"/>
  <c r="C324" i="4" a="1"/>
  <c r="C324" i="4" l="1"/>
  <c r="B325" i="4"/>
  <c r="C325" i="4" a="1"/>
  <c r="C325" i="4" l="1"/>
  <c r="B326" i="4"/>
  <c r="C326" i="4" a="1"/>
  <c r="C326" i="4" l="1"/>
  <c r="B327" i="4"/>
  <c r="C327" i="4" a="1"/>
  <c r="C327" i="4" l="1"/>
  <c r="B328" i="4"/>
  <c r="C328" i="4" a="1"/>
  <c r="C328" i="4" l="1"/>
  <c r="B329" i="4"/>
  <c r="C329" i="4" a="1"/>
  <c r="C329" i="4" l="1"/>
  <c r="B330" i="4"/>
  <c r="C330" i="4" a="1"/>
  <c r="C330" i="4" l="1"/>
  <c r="B331" i="4"/>
  <c r="C331" i="4" a="1"/>
  <c r="C331" i="4" l="1"/>
  <c r="B332" i="4"/>
  <c r="C332" i="4" a="1"/>
  <c r="C332" i="4" l="1"/>
  <c r="B333" i="4"/>
  <c r="C333" i="4" a="1"/>
  <c r="C333" i="4" l="1"/>
  <c r="B334" i="4"/>
  <c r="C334" i="4" a="1"/>
  <c r="C334" i="4" l="1"/>
  <c r="B335" i="4"/>
  <c r="C335" i="4" a="1"/>
  <c r="C335" i="4" l="1"/>
  <c r="B336" i="4"/>
  <c r="C336" i="4" a="1"/>
  <c r="C336" i="4" l="1"/>
  <c r="B337" i="4"/>
  <c r="C337" i="4" a="1"/>
  <c r="C337" i="4" l="1"/>
  <c r="B338" i="4"/>
  <c r="C338" i="4" a="1"/>
  <c r="C338" i="4" l="1"/>
  <c r="B339" i="4"/>
  <c r="C339" i="4" a="1"/>
  <c r="C339" i="4" l="1"/>
  <c r="B340" i="4"/>
  <c r="C340" i="4" a="1"/>
  <c r="C340" i="4" l="1"/>
  <c r="B341" i="4"/>
  <c r="C341" i="4" a="1"/>
  <c r="C341" i="4" l="1"/>
  <c r="B342" i="4"/>
  <c r="C342" i="4" a="1"/>
  <c r="C342" i="4" l="1"/>
  <c r="B343" i="4"/>
  <c r="C343" i="4" a="1"/>
  <c r="C343" i="4" l="1"/>
  <c r="B344" i="4"/>
  <c r="C344" i="4" a="1"/>
  <c r="C344" i="4" l="1"/>
  <c r="B345" i="4"/>
  <c r="C345" i="4" a="1"/>
  <c r="C345" i="4" l="1"/>
  <c r="B346" i="4"/>
  <c r="C346" i="4" a="1"/>
  <c r="C346" i="4" l="1"/>
  <c r="B347" i="4"/>
  <c r="C347" i="4" a="1"/>
  <c r="C347" i="4" l="1"/>
  <c r="B348" i="4"/>
  <c r="C348" i="4" a="1"/>
  <c r="C348" i="4" l="1"/>
  <c r="B349" i="4"/>
  <c r="C349" i="4" a="1"/>
  <c r="C349" i="4" l="1"/>
  <c r="B350" i="4"/>
  <c r="C350" i="4" a="1"/>
  <c r="C350" i="4" l="1"/>
  <c r="B351" i="4"/>
  <c r="C351" i="4" a="1"/>
  <c r="C351" i="4" l="1"/>
  <c r="B352" i="4"/>
  <c r="C352" i="4" a="1"/>
  <c r="C352" i="4" l="1"/>
  <c r="B353" i="4"/>
  <c r="C353" i="4" a="1"/>
  <c r="C353" i="4" l="1"/>
  <c r="B354" i="4"/>
  <c r="C354" i="4" a="1"/>
  <c r="C354" i="4" l="1"/>
  <c r="B355" i="4"/>
  <c r="C355" i="4" a="1"/>
  <c r="C355" i="4" l="1"/>
  <c r="B356" i="4"/>
  <c r="C356" i="4" a="1"/>
  <c r="C356" i="4" l="1"/>
  <c r="B357" i="4"/>
  <c r="C357" i="4" a="1"/>
  <c r="C357" i="4" l="1"/>
  <c r="B358" i="4"/>
  <c r="C358" i="4" a="1"/>
  <c r="C358" i="4" l="1"/>
  <c r="B359" i="4"/>
  <c r="C359" i="4" a="1"/>
  <c r="C359" i="4" l="1"/>
  <c r="B360" i="4"/>
  <c r="C360" i="4" a="1"/>
  <c r="C360" i="4" l="1"/>
  <c r="B361" i="4"/>
  <c r="C361" i="4" a="1"/>
  <c r="C361" i="4" l="1"/>
  <c r="B362" i="4"/>
  <c r="C362" i="4" a="1"/>
  <c r="C362" i="4" l="1"/>
  <c r="B363" i="4"/>
  <c r="C363" i="4" a="1"/>
  <c r="C363" i="4" l="1"/>
  <c r="B364" i="4"/>
  <c r="C364" i="4" a="1"/>
  <c r="C364" i="4" l="1"/>
  <c r="B365" i="4"/>
  <c r="C365" i="4" a="1"/>
  <c r="C365" i="4" l="1"/>
  <c r="B366" i="4"/>
  <c r="C366" i="4" a="1"/>
  <c r="C366" i="4" l="1"/>
  <c r="B367" i="4"/>
  <c r="C367" i="4" a="1"/>
  <c r="C367" i="4" l="1"/>
  <c r="B368" i="4"/>
  <c r="C368" i="4" a="1"/>
  <c r="C368" i="4" l="1"/>
  <c r="B369" i="4"/>
  <c r="C369" i="4" a="1"/>
  <c r="C369" i="4" l="1"/>
  <c r="B370" i="4"/>
  <c r="C370" i="4" a="1"/>
  <c r="C370" i="4" l="1"/>
  <c r="B371" i="4"/>
  <c r="C371" i="4" a="1"/>
  <c r="C371" i="4" l="1"/>
  <c r="B372" i="4"/>
  <c r="C372" i="4" a="1"/>
  <c r="C372" i="4" l="1"/>
  <c r="B373" i="4"/>
  <c r="C373" i="4" a="1"/>
  <c r="C373" i="4" l="1"/>
  <c r="B374" i="4"/>
  <c r="C374" i="4" a="1"/>
  <c r="C374" i="4" l="1"/>
  <c r="B375" i="4"/>
  <c r="C375" i="4" a="1"/>
  <c r="C375" i="4" l="1"/>
  <c r="B376" i="4"/>
  <c r="C376" i="4" a="1"/>
  <c r="C376" i="4" l="1"/>
  <c r="B377" i="4"/>
  <c r="C377" i="4" a="1"/>
  <c r="C377" i="4" l="1"/>
  <c r="B378" i="4"/>
  <c r="C378" i="4" a="1"/>
  <c r="C378" i="4" l="1"/>
  <c r="B379" i="4"/>
  <c r="C379" i="4" a="1"/>
  <c r="C379" i="4" l="1"/>
  <c r="B380" i="4"/>
  <c r="C380" i="4" a="1"/>
  <c r="C380" i="4" l="1"/>
  <c r="B381" i="4"/>
  <c r="C381" i="4" a="1"/>
  <c r="C381" i="4" l="1"/>
  <c r="B382" i="4"/>
  <c r="C382" i="4" a="1"/>
  <c r="C382" i="4" l="1"/>
  <c r="B383" i="4"/>
  <c r="C383" i="4" a="1"/>
  <c r="C383" i="4" l="1"/>
  <c r="B384" i="4"/>
  <c r="C384" i="4" a="1"/>
  <c r="C384" i="4" l="1"/>
  <c r="B385" i="4"/>
  <c r="C385" i="4" a="1"/>
  <c r="C385" i="4" l="1"/>
  <c r="B386" i="4"/>
  <c r="C386" i="4" a="1"/>
  <c r="C386" i="4" l="1"/>
  <c r="B387" i="4"/>
  <c r="C387" i="4" a="1"/>
  <c r="C387" i="4" l="1"/>
  <c r="B388" i="4"/>
  <c r="C388" i="4" a="1"/>
  <c r="C388" i="4" l="1"/>
  <c r="B389" i="4"/>
  <c r="C389" i="4" a="1"/>
  <c r="C389" i="4" l="1"/>
  <c r="B390" i="4"/>
  <c r="C390" i="4" a="1"/>
  <c r="C390" i="4" l="1"/>
  <c r="B391" i="4"/>
  <c r="C391" i="4" a="1"/>
  <c r="C391" i="4" l="1"/>
  <c r="B392" i="4"/>
  <c r="C392" i="4" a="1"/>
  <c r="C392" i="4" l="1"/>
  <c r="B393" i="4"/>
  <c r="C393" i="4" a="1"/>
  <c r="C393" i="4" l="1"/>
  <c r="B394" i="4"/>
  <c r="C394" i="4" a="1"/>
  <c r="C394" i="4" l="1"/>
  <c r="B395" i="4"/>
  <c r="C395" i="4" a="1"/>
  <c r="C395" i="4" l="1"/>
  <c r="B396" i="4"/>
  <c r="C396" i="4" a="1"/>
  <c r="C396" i="4" l="1"/>
  <c r="B397" i="4"/>
  <c r="C397" i="4" a="1"/>
  <c r="C397" i="4" l="1"/>
  <c r="B398" i="4"/>
  <c r="C398" i="4" a="1"/>
  <c r="C398" i="4" l="1"/>
  <c r="B399" i="4"/>
  <c r="C399" i="4" a="1"/>
  <c r="C399" i="4" l="1"/>
  <c r="B400" i="4"/>
  <c r="C400" i="4" a="1"/>
  <c r="C400" i="4" l="1"/>
  <c r="B401" i="4"/>
  <c r="C401" i="4" a="1"/>
  <c r="C401" i="4" l="1"/>
  <c r="B402" i="4"/>
  <c r="C402" i="4" a="1"/>
  <c r="C402" i="4" l="1"/>
  <c r="B403" i="4"/>
  <c r="C403" i="4" a="1"/>
  <c r="C403" i="4" l="1"/>
  <c r="B404" i="4"/>
  <c r="C404" i="4" a="1"/>
  <c r="C404" i="4" l="1"/>
  <c r="B405" i="4"/>
  <c r="C405" i="4" a="1"/>
  <c r="C405" i="4" l="1"/>
  <c r="B406" i="4"/>
  <c r="C406" i="4" a="1"/>
  <c r="C406" i="4" l="1"/>
  <c r="B407" i="4"/>
  <c r="C407" i="4" a="1"/>
  <c r="C407" i="4" l="1"/>
  <c r="B408" i="4"/>
  <c r="C408" i="4" a="1"/>
  <c r="C408" i="4" l="1"/>
  <c r="B409" i="4"/>
  <c r="C409" i="4" a="1"/>
  <c r="C409" i="4" l="1"/>
  <c r="B410" i="4"/>
  <c r="C410" i="4" a="1"/>
  <c r="C410" i="4" l="1"/>
  <c r="B411" i="4"/>
  <c r="C411" i="4" a="1"/>
  <c r="C411" i="4" l="1"/>
  <c r="B412" i="4"/>
  <c r="C412" i="4" a="1"/>
  <c r="C412" i="4" l="1"/>
  <c r="B413" i="4"/>
  <c r="C413" i="4" a="1"/>
  <c r="C413" i="4" l="1"/>
  <c r="B414" i="4"/>
  <c r="C414" i="4" a="1"/>
  <c r="C414" i="4" l="1"/>
  <c r="B415" i="4"/>
  <c r="C415" i="4" a="1"/>
  <c r="C415" i="4" l="1"/>
  <c r="B416" i="4"/>
  <c r="C416" i="4" a="1"/>
  <c r="C416" i="4" l="1"/>
  <c r="B417" i="4"/>
  <c r="C417" i="4" a="1"/>
  <c r="C417" i="4" l="1"/>
  <c r="B418" i="4"/>
  <c r="C418" i="4" a="1"/>
  <c r="C418" i="4" l="1"/>
  <c r="B419" i="4"/>
  <c r="C419" i="4" a="1"/>
  <c r="C419" i="4" l="1"/>
  <c r="B420" i="4"/>
  <c r="C420" i="4" a="1"/>
  <c r="C420" i="4" l="1"/>
  <c r="B421" i="4"/>
  <c r="C421" i="4" a="1"/>
  <c r="C421" i="4" l="1"/>
  <c r="B422" i="4"/>
  <c r="C422" i="4" a="1"/>
  <c r="C422" i="4" l="1"/>
  <c r="B423" i="4"/>
  <c r="C423" i="4" a="1"/>
  <c r="C423" i="4" l="1"/>
  <c r="B424" i="4"/>
  <c r="C424" i="4" a="1"/>
  <c r="C424" i="4" l="1"/>
  <c r="B425" i="4"/>
  <c r="C425" i="4" a="1"/>
  <c r="C425" i="4" l="1"/>
  <c r="B426" i="4"/>
  <c r="C426" i="4" a="1"/>
  <c r="C426" i="4" l="1"/>
  <c r="B427" i="4"/>
  <c r="C427" i="4" a="1"/>
  <c r="C427" i="4" l="1"/>
  <c r="B428" i="4"/>
  <c r="C428" i="4" a="1"/>
  <c r="C428" i="4" l="1"/>
  <c r="B429" i="4"/>
  <c r="C429" i="4" a="1"/>
  <c r="C429" i="4" l="1"/>
  <c r="B430" i="4"/>
  <c r="C430" i="4" a="1"/>
  <c r="C430" i="4" l="1"/>
  <c r="B431" i="4"/>
  <c r="C431" i="4" a="1"/>
  <c r="C431" i="4" l="1"/>
  <c r="B432" i="4"/>
  <c r="C432" i="4" a="1"/>
  <c r="C432" i="4" l="1"/>
  <c r="B433" i="4"/>
  <c r="C433" i="4" a="1"/>
  <c r="C433" i="4" l="1"/>
  <c r="B434" i="4"/>
  <c r="C434" i="4" a="1"/>
  <c r="C434" i="4" l="1"/>
  <c r="B435" i="4"/>
  <c r="C435" i="4" a="1"/>
  <c r="C435" i="4" l="1"/>
  <c r="B436" i="4"/>
  <c r="C436" i="4" a="1"/>
  <c r="C436" i="4" l="1"/>
  <c r="B437" i="4"/>
  <c r="C437" i="4" a="1"/>
  <c r="C437" i="4" l="1"/>
  <c r="B438" i="4"/>
  <c r="C438" i="4" a="1"/>
  <c r="C438" i="4" l="1"/>
  <c r="B439" i="4"/>
  <c r="C439" i="4" a="1"/>
  <c r="C439" i="4" l="1"/>
  <c r="B440" i="4"/>
  <c r="C440" i="4" a="1"/>
  <c r="C440" i="4" l="1"/>
  <c r="B441" i="4"/>
  <c r="C441" i="4" a="1"/>
  <c r="C441" i="4" l="1"/>
  <c r="B442" i="4"/>
  <c r="C442" i="4" a="1"/>
  <c r="C442" i="4" l="1"/>
  <c r="B443" i="4"/>
  <c r="C443" i="4" a="1"/>
  <c r="C443" i="4" l="1"/>
  <c r="B444" i="4"/>
  <c r="C444" i="4" a="1"/>
  <c r="C444" i="4" l="1"/>
  <c r="B445" i="4"/>
  <c r="C445" i="4" a="1"/>
  <c r="C445" i="4" l="1"/>
  <c r="B446" i="4"/>
  <c r="C446" i="4" a="1"/>
  <c r="C446" i="4" l="1"/>
  <c r="B447" i="4"/>
  <c r="C447" i="4" a="1"/>
  <c r="C447" i="4" l="1"/>
  <c r="B448" i="4"/>
  <c r="C448" i="4" a="1"/>
  <c r="C448" i="4" l="1"/>
  <c r="B449" i="4"/>
  <c r="C449" i="4" a="1"/>
  <c r="C449" i="4" l="1"/>
  <c r="B450" i="4"/>
  <c r="C450" i="4" a="1"/>
  <c r="C450" i="4" l="1"/>
  <c r="B451" i="4"/>
  <c r="C451" i="4" a="1"/>
  <c r="C451" i="4" l="1"/>
  <c r="B452" i="4"/>
  <c r="C452" i="4" a="1"/>
  <c r="C452" i="4" l="1"/>
  <c r="B453" i="4"/>
  <c r="C453" i="4" a="1"/>
  <c r="C453" i="4" l="1"/>
  <c r="B454" i="4"/>
  <c r="C454" i="4" a="1"/>
  <c r="C454" i="4" l="1"/>
  <c r="B455" i="4"/>
  <c r="C455" i="4" a="1"/>
  <c r="C455" i="4" l="1"/>
  <c r="B456" i="4"/>
  <c r="C456" i="4" a="1"/>
  <c r="C456" i="4" l="1"/>
  <c r="B457" i="4"/>
  <c r="C457" i="4" a="1"/>
  <c r="C457" i="4" l="1"/>
  <c r="B458" i="4"/>
  <c r="C458" i="4" a="1"/>
  <c r="C458" i="4" l="1"/>
  <c r="B459" i="4"/>
  <c r="C459" i="4" a="1"/>
  <c r="C459" i="4" l="1"/>
  <c r="B460" i="4"/>
  <c r="C460" i="4" a="1"/>
  <c r="C460" i="4" l="1"/>
  <c r="B461" i="4"/>
  <c r="C461" i="4" a="1"/>
  <c r="C461" i="4" l="1"/>
  <c r="B462" i="4"/>
  <c r="C462" i="4" a="1"/>
  <c r="C462" i="4" l="1"/>
  <c r="B463" i="4"/>
  <c r="C463" i="4" a="1"/>
  <c r="C463" i="4" l="1"/>
  <c r="B464" i="4"/>
  <c r="C464" i="4" a="1"/>
  <c r="C464" i="4" l="1"/>
  <c r="B465" i="4"/>
  <c r="C465" i="4" a="1"/>
  <c r="C465" i="4" l="1"/>
  <c r="B466" i="4"/>
  <c r="C466" i="4" a="1"/>
  <c r="C466" i="4" l="1"/>
  <c r="B467" i="4"/>
  <c r="C467" i="4" a="1"/>
  <c r="C467" i="4" l="1"/>
  <c r="B468" i="4"/>
  <c r="C468" i="4" a="1"/>
  <c r="C468" i="4" l="1"/>
  <c r="B469" i="4"/>
  <c r="C469" i="4" a="1"/>
  <c r="C469" i="4" l="1"/>
  <c r="B470" i="4"/>
  <c r="C470" i="4" a="1"/>
  <c r="C470" i="4" l="1"/>
  <c r="B471" i="4"/>
  <c r="C471" i="4" a="1"/>
  <c r="C471" i="4" l="1"/>
  <c r="B472" i="4"/>
  <c r="C472" i="4" a="1"/>
  <c r="C472" i="4" l="1"/>
  <c r="B473" i="4"/>
  <c r="C473" i="4" a="1"/>
  <c r="C473" i="4" l="1"/>
  <c r="B474" i="4"/>
  <c r="C474" i="4" a="1"/>
  <c r="C474" i="4" l="1"/>
  <c r="B475" i="4"/>
  <c r="C475" i="4" a="1"/>
  <c r="C475" i="4" l="1"/>
  <c r="B476" i="4"/>
  <c r="C476" i="4" a="1"/>
  <c r="C476" i="4" l="1"/>
  <c r="B477" i="4"/>
  <c r="C477" i="4" a="1"/>
  <c r="C477" i="4" l="1"/>
  <c r="B478" i="4"/>
  <c r="C478" i="4" a="1"/>
  <c r="C478" i="4" l="1"/>
  <c r="B479" i="4"/>
  <c r="C479" i="4" a="1"/>
  <c r="C479" i="4" l="1"/>
  <c r="B480" i="4"/>
  <c r="C480" i="4" a="1"/>
  <c r="C480" i="4" l="1"/>
  <c r="B481" i="4"/>
  <c r="C481" i="4" a="1"/>
  <c r="C481" i="4" l="1"/>
  <c r="B482" i="4"/>
  <c r="C482" i="4" a="1"/>
  <c r="C482" i="4" l="1"/>
  <c r="B483" i="4"/>
  <c r="C483" i="4" a="1"/>
  <c r="C483" i="4" l="1"/>
  <c r="B484" i="4"/>
  <c r="C484" i="4" a="1"/>
  <c r="C484" i="4" l="1"/>
  <c r="B485" i="4"/>
  <c r="C485" i="4" a="1"/>
  <c r="C485" i="4" l="1"/>
  <c r="B486" i="4"/>
  <c r="C486" i="4" a="1"/>
  <c r="C486" i="4" l="1"/>
  <c r="B487" i="4"/>
  <c r="C487" i="4" a="1"/>
  <c r="C487" i="4" l="1"/>
  <c r="B488" i="4"/>
  <c r="C488" i="4" a="1"/>
  <c r="C488" i="4" l="1"/>
  <c r="B489" i="4"/>
  <c r="C489" i="4" a="1"/>
  <c r="C489" i="4" l="1"/>
  <c r="B490" i="4"/>
  <c r="C490" i="4" a="1"/>
  <c r="C490" i="4" l="1"/>
  <c r="B491" i="4"/>
  <c r="C491" i="4" a="1"/>
  <c r="C491" i="4" l="1"/>
  <c r="B492" i="4"/>
  <c r="C492" i="4" a="1"/>
  <c r="C492" i="4" l="1"/>
  <c r="B493" i="4"/>
  <c r="C493" i="4" a="1"/>
  <c r="C493" i="4" l="1"/>
  <c r="B494" i="4"/>
  <c r="C494" i="4" a="1"/>
  <c r="C494" i="4" l="1"/>
  <c r="B495" i="4"/>
  <c r="C495" i="4" a="1"/>
  <c r="C495" i="4" l="1"/>
  <c r="B496" i="4"/>
  <c r="C496" i="4" a="1"/>
  <c r="C496" i="4" l="1"/>
  <c r="B497" i="4"/>
  <c r="C497" i="4" a="1"/>
  <c r="C497" i="4" l="1"/>
  <c r="B498" i="4"/>
  <c r="C498" i="4" a="1"/>
  <c r="C498" i="4" l="1"/>
  <c r="B499" i="4"/>
  <c r="C499" i="4" a="1"/>
  <c r="C499" i="4" l="1"/>
  <c r="B500" i="4"/>
  <c r="C500" i="4" a="1"/>
  <c r="C500" i="4" l="1"/>
  <c r="B501" i="4"/>
  <c r="C501" i="4" a="1"/>
  <c r="C501" i="4" l="1"/>
  <c r="B502" i="4"/>
  <c r="C502" i="4" a="1"/>
  <c r="C502" i="4" l="1"/>
  <c r="B503" i="4"/>
  <c r="C503" i="4" a="1"/>
  <c r="C503" i="4" l="1"/>
  <c r="B504" i="4"/>
  <c r="C504" i="4" a="1"/>
  <c r="C504" i="4" l="1"/>
  <c r="B505" i="4"/>
  <c r="C505" i="4" a="1"/>
  <c r="C505" i="4" l="1"/>
  <c r="B506" i="4"/>
  <c r="C506" i="4" a="1"/>
  <c r="C506" i="4" l="1"/>
  <c r="B507" i="4"/>
  <c r="C507" i="4" a="1"/>
  <c r="C507" i="4" l="1"/>
  <c r="B508" i="4"/>
  <c r="C508" i="4" a="1"/>
  <c r="C508" i="4" l="1"/>
  <c r="B509" i="4"/>
  <c r="C509" i="4" a="1"/>
  <c r="C509" i="4" l="1"/>
  <c r="B510" i="4"/>
  <c r="C510" i="4" a="1"/>
  <c r="C510" i="4" l="1"/>
  <c r="B511" i="4"/>
  <c r="C511" i="4" a="1"/>
  <c r="C511" i="4" l="1"/>
  <c r="B512" i="4"/>
  <c r="C512" i="4" a="1"/>
  <c r="C512" i="4" l="1"/>
  <c r="B513" i="4"/>
  <c r="C513" i="4" a="1"/>
  <c r="C513" i="4" l="1"/>
  <c r="B514" i="4"/>
  <c r="C514" i="4" a="1"/>
  <c r="C514" i="4" l="1"/>
  <c r="B515" i="4"/>
  <c r="C515" i="4" a="1"/>
  <c r="C515" i="4" l="1"/>
  <c r="B516" i="4"/>
  <c r="C516" i="4" a="1"/>
  <c r="C516" i="4" l="1"/>
  <c r="B517" i="4"/>
  <c r="C517" i="4" a="1"/>
  <c r="C517" i="4" l="1"/>
  <c r="B518" i="4"/>
  <c r="C518" i="4" a="1"/>
  <c r="C518" i="4" l="1"/>
  <c r="B519" i="4"/>
  <c r="C519" i="4" a="1"/>
  <c r="C519" i="4" l="1"/>
  <c r="B520" i="4"/>
  <c r="C520" i="4" a="1"/>
  <c r="C520" i="4" l="1"/>
  <c r="B521" i="4"/>
  <c r="C521" i="4" a="1"/>
  <c r="C521" i="4" l="1"/>
  <c r="B522" i="4"/>
  <c r="C522" i="4" a="1"/>
  <c r="C522" i="4" l="1"/>
  <c r="B523" i="4"/>
  <c r="C523" i="4" a="1"/>
  <c r="C523" i="4" l="1"/>
  <c r="B524" i="4"/>
  <c r="C524" i="4" a="1"/>
  <c r="C524" i="4" l="1"/>
  <c r="B525" i="4"/>
  <c r="C525" i="4" a="1"/>
  <c r="C525" i="4" l="1"/>
  <c r="B526" i="4"/>
  <c r="C526" i="4" a="1"/>
  <c r="C526" i="4" l="1"/>
  <c r="B527" i="4"/>
  <c r="C527" i="4" a="1"/>
  <c r="C527" i="4" l="1"/>
  <c r="B528" i="4"/>
  <c r="C528" i="4" a="1"/>
  <c r="C528" i="4" l="1"/>
  <c r="B529" i="4"/>
  <c r="C529" i="4" a="1"/>
  <c r="C529" i="4" l="1"/>
  <c r="B530" i="4"/>
  <c r="C530" i="4" a="1"/>
  <c r="C530" i="4" l="1"/>
  <c r="B531" i="4"/>
  <c r="C531" i="4" a="1"/>
  <c r="C531" i="4" l="1"/>
  <c r="B532" i="4"/>
  <c r="C532" i="4" a="1"/>
  <c r="C532" i="4" l="1"/>
  <c r="B533" i="4"/>
  <c r="C533" i="4" a="1"/>
  <c r="C533" i="4" l="1"/>
  <c r="B534" i="4"/>
  <c r="C534" i="4" a="1"/>
  <c r="C534" i="4" l="1"/>
  <c r="B535" i="4"/>
  <c r="C535" i="4" a="1"/>
  <c r="C535" i="4" l="1"/>
  <c r="B536" i="4"/>
  <c r="C536" i="4" a="1"/>
  <c r="C536" i="4" l="1"/>
  <c r="B537" i="4"/>
  <c r="C537" i="4" a="1"/>
  <c r="C537" i="4" l="1"/>
  <c r="B538" i="4"/>
  <c r="C538" i="4" a="1"/>
  <c r="C538" i="4" l="1"/>
  <c r="B539" i="4"/>
  <c r="C539" i="4" a="1"/>
  <c r="C539" i="4" l="1"/>
  <c r="B540" i="4"/>
  <c r="C540" i="4" a="1"/>
  <c r="C540" i="4" l="1"/>
  <c r="B541" i="4"/>
  <c r="C541" i="4" a="1"/>
  <c r="C541" i="4" l="1"/>
  <c r="B542" i="4"/>
  <c r="C542" i="4" a="1"/>
  <c r="C542" i="4" l="1"/>
  <c r="B543" i="4"/>
  <c r="C543" i="4" a="1"/>
  <c r="C543" i="4" l="1"/>
  <c r="B544" i="4"/>
  <c r="C544" i="4" a="1"/>
  <c r="C544" i="4" l="1"/>
  <c r="B545" i="4"/>
  <c r="C545" i="4" a="1"/>
  <c r="C545" i="4" l="1"/>
  <c r="B546" i="4"/>
  <c r="C546" i="4" a="1"/>
  <c r="C546" i="4" l="1"/>
  <c r="B547" i="4"/>
  <c r="C547" i="4" a="1"/>
  <c r="C547" i="4" l="1"/>
  <c r="B548" i="4"/>
  <c r="C548" i="4" a="1"/>
  <c r="C548" i="4" l="1"/>
  <c r="B549" i="4"/>
  <c r="C549" i="4" a="1"/>
  <c r="C549" i="4" l="1"/>
  <c r="B550" i="4"/>
  <c r="C550" i="4" a="1"/>
  <c r="C550" i="4" l="1"/>
  <c r="B551" i="4"/>
  <c r="C551" i="4" a="1"/>
  <c r="C551" i="4" l="1"/>
  <c r="B552" i="4"/>
  <c r="C552" i="4" a="1"/>
  <c r="C552" i="4" l="1"/>
  <c r="B553" i="4"/>
  <c r="C553" i="4" a="1"/>
  <c r="C553" i="4" l="1"/>
  <c r="B554" i="4"/>
  <c r="C554" i="4" a="1"/>
  <c r="C554" i="4" l="1"/>
  <c r="B555" i="4"/>
  <c r="C555" i="4" a="1"/>
  <c r="C555" i="4" l="1"/>
  <c r="B556" i="4"/>
  <c r="C556" i="4" a="1"/>
  <c r="C556" i="4" l="1"/>
  <c r="B557" i="4"/>
  <c r="C557" i="4" a="1"/>
  <c r="C557" i="4" l="1"/>
  <c r="B558" i="4"/>
  <c r="C558" i="4" a="1"/>
  <c r="C558" i="4" l="1"/>
  <c r="B559" i="4"/>
  <c r="C559" i="4" a="1"/>
  <c r="C559" i="4" l="1"/>
  <c r="B560" i="4"/>
  <c r="C560" i="4" a="1"/>
  <c r="C560" i="4" l="1"/>
  <c r="B561" i="4"/>
  <c r="C561" i="4" a="1"/>
  <c r="C561" i="4" l="1"/>
  <c r="B562" i="4"/>
  <c r="C562" i="4" a="1"/>
  <c r="C562" i="4" l="1"/>
  <c r="B563" i="4"/>
  <c r="C563" i="4" a="1"/>
  <c r="C563" i="4" l="1"/>
  <c r="B564" i="4"/>
  <c r="C564" i="4" a="1"/>
  <c r="C564" i="4" l="1"/>
  <c r="B565" i="4"/>
  <c r="C565" i="4" a="1"/>
  <c r="C565" i="4" l="1"/>
  <c r="B566" i="4"/>
  <c r="C566" i="4" a="1"/>
  <c r="C566" i="4" l="1"/>
  <c r="B567" i="4"/>
  <c r="C567" i="4" a="1"/>
  <c r="C567" i="4" l="1"/>
  <c r="B568" i="4"/>
  <c r="C568" i="4" a="1"/>
  <c r="C568" i="4" l="1"/>
  <c r="B569" i="4"/>
  <c r="C569" i="4" a="1"/>
  <c r="C569" i="4" l="1"/>
  <c r="B570" i="4"/>
  <c r="C570" i="4" a="1"/>
  <c r="C570" i="4" l="1"/>
  <c r="B571" i="4"/>
  <c r="C571" i="4" a="1"/>
  <c r="C571" i="4" l="1"/>
  <c r="B572" i="4"/>
  <c r="C572" i="4" a="1"/>
  <c r="C572" i="4" l="1"/>
  <c r="B573" i="4"/>
  <c r="C573" i="4" a="1"/>
  <c r="C573" i="4" l="1"/>
  <c r="B574" i="4"/>
  <c r="C574" i="4" a="1"/>
  <c r="C574" i="4" l="1"/>
  <c r="B575" i="4"/>
  <c r="C575" i="4" a="1"/>
  <c r="C575" i="4" l="1"/>
  <c r="B576" i="4"/>
  <c r="C576" i="4" a="1"/>
  <c r="C576" i="4" l="1"/>
  <c r="B577" i="4"/>
  <c r="C577" i="4" a="1"/>
  <c r="C577" i="4" l="1"/>
  <c r="B578" i="4"/>
  <c r="C578" i="4" a="1"/>
  <c r="C578" i="4" l="1"/>
  <c r="B579" i="4"/>
  <c r="C579" i="4" a="1"/>
  <c r="C579" i="4" l="1"/>
  <c r="B580" i="4"/>
  <c r="C580" i="4" a="1"/>
  <c r="C580" i="4" l="1"/>
  <c r="B581" i="4"/>
  <c r="C581" i="4" a="1"/>
  <c r="C581" i="4" l="1"/>
  <c r="B582" i="4"/>
  <c r="C582" i="4" a="1"/>
  <c r="C582" i="4" l="1"/>
  <c r="B583" i="4"/>
  <c r="C583" i="4" a="1"/>
  <c r="C583" i="4" l="1"/>
  <c r="B584" i="4"/>
  <c r="C584" i="4" a="1"/>
  <c r="C584" i="4" l="1"/>
  <c r="B585" i="4"/>
  <c r="C585" i="4" a="1"/>
  <c r="C585" i="4" l="1"/>
  <c r="B586" i="4"/>
  <c r="C586" i="4" a="1"/>
  <c r="C586" i="4" l="1"/>
  <c r="B587" i="4"/>
  <c r="C587" i="4" a="1"/>
  <c r="C587" i="4" l="1"/>
  <c r="B588" i="4"/>
  <c r="C588" i="4" a="1"/>
  <c r="C588" i="4" l="1"/>
  <c r="B589" i="4"/>
  <c r="C589" i="4" a="1"/>
  <c r="C589" i="4" l="1"/>
  <c r="B590" i="4"/>
  <c r="C590" i="4" a="1"/>
  <c r="C590" i="4" l="1"/>
  <c r="B591" i="4"/>
  <c r="C591" i="4" a="1"/>
  <c r="C591" i="4" l="1"/>
  <c r="B592" i="4"/>
  <c r="C592" i="4" a="1"/>
  <c r="C592" i="4" l="1"/>
  <c r="B593" i="4"/>
  <c r="C593" i="4" a="1"/>
  <c r="C593" i="4" l="1"/>
  <c r="B594" i="4"/>
  <c r="C594" i="4" a="1"/>
  <c r="C594" i="4" l="1"/>
  <c r="B595" i="4"/>
  <c r="C595" i="4" a="1"/>
  <c r="C595" i="4" l="1"/>
  <c r="B596" i="4"/>
  <c r="C596" i="4" a="1"/>
  <c r="C596" i="4" l="1"/>
  <c r="B597" i="4"/>
  <c r="C597" i="4" a="1"/>
  <c r="C597" i="4" l="1"/>
  <c r="B598" i="4"/>
  <c r="C598" i="4" a="1"/>
  <c r="C598" i="4" l="1"/>
  <c r="B599" i="4"/>
  <c r="C599" i="4" a="1"/>
  <c r="C599" i="4" l="1"/>
  <c r="B600" i="4"/>
  <c r="C600" i="4" a="1"/>
  <c r="C600" i="4" l="1"/>
  <c r="B601" i="4"/>
  <c r="C601" i="4" a="1"/>
  <c r="C601" i="4" l="1"/>
  <c r="B602" i="4"/>
  <c r="C602" i="4" a="1"/>
  <c r="C602" i="4" l="1"/>
  <c r="B603" i="4"/>
  <c r="C603" i="4" a="1"/>
  <c r="C603" i="4" l="1"/>
  <c r="B604" i="4"/>
  <c r="C604" i="4" a="1"/>
  <c r="C604" i="4" l="1"/>
  <c r="B605" i="4"/>
  <c r="C605" i="4" a="1"/>
  <c r="C605" i="4" l="1"/>
  <c r="B606" i="4"/>
  <c r="C606" i="4" a="1"/>
  <c r="C606" i="4" l="1"/>
  <c r="B607" i="4"/>
  <c r="C607" i="4" a="1"/>
  <c r="C607" i="4" l="1"/>
  <c r="B608" i="4"/>
  <c r="C608" i="4" a="1"/>
  <c r="C608" i="4" l="1"/>
  <c r="B609" i="4"/>
  <c r="C609" i="4" a="1"/>
  <c r="C609" i="4" l="1"/>
  <c r="B610" i="4"/>
  <c r="C610" i="4" a="1"/>
  <c r="C610" i="4" l="1"/>
  <c r="B611" i="4"/>
  <c r="C611" i="4" a="1"/>
  <c r="C611" i="4" l="1"/>
  <c r="B612" i="4"/>
  <c r="C612" i="4" a="1"/>
  <c r="C612" i="4" l="1"/>
  <c r="B613" i="4"/>
  <c r="C613" i="4" a="1"/>
  <c r="C613" i="4" l="1"/>
  <c r="B614" i="4"/>
  <c r="C614" i="4" a="1"/>
  <c r="C614" i="4" l="1"/>
  <c r="B615" i="4"/>
  <c r="C615" i="4" a="1"/>
  <c r="C615" i="4" l="1"/>
  <c r="B616" i="4"/>
  <c r="C616" i="4" a="1"/>
  <c r="C616" i="4" l="1"/>
  <c r="B617" i="4"/>
  <c r="C617" i="4" a="1"/>
  <c r="C617" i="4" l="1"/>
  <c r="B618" i="4"/>
  <c r="C618" i="4" a="1"/>
  <c r="C618" i="4" l="1"/>
  <c r="B619" i="4"/>
  <c r="C619" i="4" a="1"/>
  <c r="C619" i="4" l="1"/>
  <c r="B620" i="4"/>
  <c r="C620" i="4" a="1"/>
  <c r="C620" i="4" l="1"/>
  <c r="B621" i="4"/>
  <c r="C621" i="4" a="1"/>
  <c r="C621" i="4" l="1"/>
  <c r="B622" i="4"/>
  <c r="C622" i="4" a="1"/>
  <c r="C622" i="4" l="1"/>
  <c r="B623" i="4"/>
  <c r="C623" i="4" a="1"/>
  <c r="C623" i="4" l="1"/>
  <c r="B624" i="4"/>
  <c r="C624" i="4" a="1"/>
  <c r="C624" i="4" l="1"/>
  <c r="B625" i="4"/>
  <c r="C625" i="4" a="1"/>
  <c r="C625" i="4" l="1"/>
  <c r="B626" i="4"/>
  <c r="C626" i="4" a="1"/>
  <c r="C626" i="4" l="1"/>
  <c r="B627" i="4"/>
  <c r="C627" i="4" a="1"/>
  <c r="C627" i="4" l="1"/>
  <c r="B628" i="4"/>
  <c r="C628" i="4" a="1"/>
  <c r="C628" i="4" l="1"/>
  <c r="B629" i="4"/>
  <c r="C629" i="4" a="1"/>
  <c r="C629" i="4" l="1"/>
  <c r="B630" i="4"/>
  <c r="C630" i="4" a="1"/>
  <c r="C630" i="4" l="1"/>
  <c r="B631" i="4"/>
  <c r="C631" i="4" a="1"/>
  <c r="C631" i="4" l="1"/>
  <c r="B632" i="4"/>
  <c r="C632" i="4" a="1"/>
  <c r="C632" i="4" l="1"/>
  <c r="B633" i="4"/>
  <c r="C633" i="4" a="1"/>
  <c r="C633" i="4" l="1"/>
  <c r="B634" i="4"/>
  <c r="C634" i="4" a="1"/>
  <c r="C634" i="4" l="1"/>
  <c r="B635" i="4"/>
  <c r="C635" i="4" a="1"/>
  <c r="C635" i="4" l="1"/>
  <c r="B636" i="4"/>
  <c r="C636" i="4" a="1"/>
  <c r="C636" i="4" l="1"/>
  <c r="B637" i="4"/>
  <c r="C637" i="4" a="1"/>
  <c r="C637" i="4" l="1"/>
  <c r="B638" i="4"/>
  <c r="C638" i="4" a="1"/>
  <c r="C638" i="4" l="1"/>
  <c r="B639" i="4"/>
  <c r="C639" i="4" a="1"/>
  <c r="C639" i="4" l="1"/>
  <c r="B640" i="4"/>
  <c r="C640" i="4" a="1"/>
  <c r="C640" i="4" l="1"/>
  <c r="B641" i="4"/>
  <c r="C641" i="4" a="1"/>
  <c r="C641" i="4" l="1"/>
  <c r="B642" i="4"/>
  <c r="C642" i="4" a="1"/>
  <c r="C642" i="4" l="1"/>
  <c r="B643" i="4"/>
  <c r="C643" i="4" a="1"/>
  <c r="C643" i="4" l="1"/>
  <c r="B644" i="4"/>
  <c r="C644" i="4" a="1"/>
  <c r="C644" i="4" l="1"/>
  <c r="B645" i="4"/>
  <c r="C645" i="4" a="1"/>
  <c r="C645" i="4" l="1"/>
  <c r="B646" i="4"/>
  <c r="C646" i="4" a="1"/>
  <c r="C646" i="4" l="1"/>
  <c r="B647" i="4"/>
  <c r="C647" i="4" a="1"/>
  <c r="C647" i="4" l="1"/>
  <c r="B648" i="4"/>
  <c r="C648" i="4" a="1"/>
  <c r="C648" i="4" l="1"/>
  <c r="B649" i="4"/>
  <c r="C649" i="4" a="1"/>
  <c r="C649" i="4" l="1"/>
  <c r="B650" i="4"/>
  <c r="C650" i="4" a="1"/>
  <c r="C650" i="4" l="1"/>
  <c r="B651" i="4"/>
  <c r="C651" i="4" a="1"/>
  <c r="C651" i="4" l="1"/>
  <c r="B652" i="4"/>
  <c r="C652" i="4" a="1"/>
  <c r="C652" i="4" l="1"/>
  <c r="B653" i="4"/>
  <c r="C653" i="4" a="1"/>
  <c r="C653" i="4" l="1"/>
  <c r="B654" i="4"/>
  <c r="C654" i="4" a="1"/>
  <c r="C654" i="4" l="1"/>
  <c r="B655" i="4"/>
  <c r="C655" i="4" a="1"/>
  <c r="C655" i="4" l="1"/>
  <c r="B656" i="4"/>
  <c r="C656" i="4" a="1"/>
  <c r="C656" i="4" l="1"/>
  <c r="B657" i="4"/>
  <c r="C657" i="4" a="1"/>
  <c r="C657" i="4" l="1"/>
  <c r="B658" i="4"/>
  <c r="C658" i="4" a="1"/>
  <c r="C658" i="4" l="1"/>
  <c r="B659" i="4"/>
  <c r="C659" i="4" a="1"/>
  <c r="C659" i="4" l="1"/>
  <c r="B660" i="4"/>
  <c r="C660" i="4" a="1"/>
  <c r="C660" i="4" l="1"/>
  <c r="B661" i="4"/>
  <c r="C661" i="4" a="1"/>
  <c r="C661" i="4" l="1"/>
  <c r="B662" i="4"/>
  <c r="C662" i="4" a="1"/>
  <c r="C662" i="4" l="1"/>
  <c r="B663" i="4"/>
  <c r="C663" i="4" a="1"/>
  <c r="C663" i="4" l="1"/>
  <c r="B664" i="4"/>
  <c r="C664" i="4" a="1"/>
  <c r="C664" i="4" l="1"/>
  <c r="B665" i="4"/>
  <c r="C665" i="4" a="1"/>
  <c r="C665" i="4" l="1"/>
  <c r="B666" i="4"/>
  <c r="C666" i="4" a="1"/>
  <c r="C666" i="4" l="1"/>
  <c r="B667" i="4"/>
  <c r="C667" i="4" a="1"/>
  <c r="C667" i="4" l="1"/>
  <c r="B668" i="4"/>
  <c r="C668" i="4" a="1"/>
  <c r="C668" i="4" l="1"/>
  <c r="B669" i="4"/>
  <c r="C669" i="4" a="1"/>
  <c r="C669" i="4" l="1"/>
  <c r="B670" i="4"/>
  <c r="C670" i="4" a="1"/>
  <c r="C670" i="4" l="1"/>
  <c r="B671" i="4"/>
  <c r="C671" i="4" a="1"/>
  <c r="C671" i="4" l="1"/>
  <c r="B672" i="4"/>
  <c r="C672" i="4" a="1"/>
  <c r="C672" i="4" l="1"/>
  <c r="B673" i="4"/>
  <c r="C673" i="4" a="1"/>
  <c r="C673" i="4" l="1"/>
  <c r="B674" i="4"/>
  <c r="C674" i="4" a="1"/>
  <c r="C674" i="4" l="1"/>
  <c r="B675" i="4"/>
  <c r="C675" i="4" a="1"/>
  <c r="C675" i="4" l="1"/>
  <c r="B676" i="4"/>
  <c r="C676" i="4" a="1"/>
  <c r="C676" i="4" l="1"/>
  <c r="B677" i="4"/>
  <c r="C677" i="4" a="1"/>
  <c r="C677" i="4" l="1"/>
  <c r="B678" i="4"/>
  <c r="C678" i="4" a="1"/>
  <c r="C678" i="4" l="1"/>
  <c r="B679" i="4"/>
  <c r="C679" i="4" a="1"/>
  <c r="C679" i="4" l="1"/>
  <c r="B680" i="4"/>
  <c r="C680" i="4" a="1"/>
  <c r="C680" i="4" l="1"/>
  <c r="B681" i="4"/>
  <c r="C681" i="4" a="1"/>
  <c r="C681" i="4" l="1"/>
  <c r="B682" i="4"/>
  <c r="C682" i="4" a="1"/>
  <c r="C682" i="4" l="1"/>
  <c r="B683" i="4"/>
  <c r="C683" i="4" a="1"/>
  <c r="C683" i="4" l="1"/>
  <c r="B684" i="4"/>
  <c r="C684" i="4" a="1"/>
  <c r="C684" i="4" l="1"/>
  <c r="B685" i="4"/>
  <c r="C685" i="4" a="1"/>
  <c r="C685" i="4" l="1"/>
  <c r="B686" i="4"/>
  <c r="C686" i="4" a="1"/>
  <c r="C686" i="4" l="1"/>
  <c r="B687" i="4"/>
  <c r="C687" i="4" a="1"/>
  <c r="C687" i="4" l="1"/>
  <c r="B688" i="4"/>
  <c r="C688" i="4" a="1"/>
  <c r="C688" i="4" l="1"/>
  <c r="B689" i="4"/>
  <c r="C689" i="4" a="1"/>
  <c r="C689" i="4" l="1"/>
  <c r="B690" i="4"/>
  <c r="C690" i="4" a="1"/>
  <c r="C690" i="4" l="1"/>
  <c r="B691" i="4"/>
  <c r="C691" i="4" a="1"/>
  <c r="C691" i="4" l="1"/>
  <c r="B692" i="4"/>
  <c r="C692" i="4" a="1"/>
  <c r="C692" i="4" l="1"/>
  <c r="B693" i="4"/>
  <c r="C693" i="4" a="1"/>
  <c r="C693" i="4" l="1"/>
  <c r="B694" i="4"/>
  <c r="C694" i="4" a="1"/>
  <c r="C694" i="4" l="1"/>
  <c r="B695" i="4"/>
  <c r="C695" i="4" a="1"/>
  <c r="C695" i="4" l="1"/>
  <c r="B696" i="4"/>
  <c r="C696" i="4" a="1"/>
  <c r="C696" i="4" l="1"/>
  <c r="B697" i="4"/>
  <c r="C697" i="4" a="1"/>
  <c r="C697" i="4" l="1"/>
  <c r="B698" i="4"/>
  <c r="C698" i="4" a="1"/>
  <c r="C698" i="4" l="1"/>
  <c r="B699" i="4"/>
  <c r="C699" i="4" a="1"/>
  <c r="C699" i="4" l="1"/>
  <c r="B700" i="4"/>
  <c r="C700" i="4" a="1"/>
  <c r="C700" i="4" l="1"/>
  <c r="B701" i="4"/>
  <c r="C701" i="4" a="1"/>
  <c r="C701" i="4" l="1"/>
  <c r="B702" i="4"/>
  <c r="C702" i="4" a="1"/>
  <c r="C702" i="4" l="1"/>
  <c r="B703" i="4"/>
  <c r="C703" i="4" a="1"/>
  <c r="C703" i="4" l="1"/>
  <c r="B704" i="4"/>
  <c r="C704" i="4" a="1"/>
  <c r="C704" i="4" l="1"/>
  <c r="B705" i="4"/>
  <c r="C705" i="4" a="1"/>
  <c r="C705" i="4" l="1"/>
  <c r="B706" i="4"/>
  <c r="C706" i="4" a="1"/>
  <c r="C706" i="4" l="1"/>
  <c r="B707" i="4"/>
  <c r="C707" i="4" a="1"/>
  <c r="C707" i="4" l="1"/>
  <c r="B708" i="4"/>
  <c r="C708" i="4" a="1"/>
  <c r="C708" i="4" l="1"/>
  <c r="B709" i="4"/>
  <c r="C709" i="4" a="1"/>
  <c r="C709" i="4" l="1"/>
  <c r="B710" i="4"/>
  <c r="C710" i="4" a="1"/>
  <c r="C710" i="4" l="1"/>
  <c r="B711" i="4"/>
  <c r="C711" i="4" a="1"/>
  <c r="C711" i="4" l="1"/>
  <c r="B712" i="4"/>
  <c r="C712" i="4" a="1"/>
  <c r="C712" i="4" l="1"/>
  <c r="B713" i="4"/>
  <c r="C713" i="4" a="1"/>
  <c r="C713" i="4" l="1"/>
  <c r="B714" i="4"/>
  <c r="C714" i="4" a="1"/>
  <c r="C714" i="4" l="1"/>
  <c r="B715" i="4"/>
  <c r="C715" i="4" a="1"/>
  <c r="C715" i="4" l="1"/>
  <c r="B716" i="4"/>
  <c r="C716" i="4" a="1"/>
  <c r="C716" i="4" l="1"/>
  <c r="B717" i="4"/>
  <c r="C717" i="4" a="1"/>
  <c r="C717" i="4" l="1"/>
  <c r="B718" i="4"/>
  <c r="C718" i="4" a="1"/>
  <c r="C718" i="4" l="1"/>
  <c r="B719" i="4"/>
  <c r="C719" i="4" a="1"/>
  <c r="C719" i="4" l="1"/>
  <c r="B720" i="4"/>
  <c r="C720" i="4" a="1"/>
  <c r="C720" i="4" l="1"/>
  <c r="B721" i="4"/>
  <c r="C721" i="4" a="1"/>
  <c r="C721" i="4" l="1"/>
  <c r="B722" i="4"/>
  <c r="C722" i="4" a="1"/>
  <c r="C722" i="4" l="1"/>
  <c r="B723" i="4"/>
  <c r="C723" i="4" a="1"/>
  <c r="C723" i="4" l="1"/>
  <c r="B724" i="4"/>
  <c r="C724" i="4" a="1"/>
  <c r="C724" i="4" l="1"/>
  <c r="B725" i="4"/>
  <c r="C725" i="4" a="1"/>
  <c r="C725" i="4" l="1"/>
  <c r="B726" i="4"/>
  <c r="C726" i="4" a="1"/>
  <c r="C726" i="4" l="1"/>
  <c r="B727" i="4"/>
  <c r="C727" i="4" a="1"/>
  <c r="C727" i="4" l="1"/>
  <c r="B728" i="4"/>
  <c r="C728" i="4" a="1"/>
  <c r="C728" i="4" l="1"/>
  <c r="B729" i="4"/>
  <c r="C729" i="4" a="1"/>
  <c r="C729" i="4" l="1"/>
  <c r="B730" i="4"/>
  <c r="C730" i="4" a="1"/>
  <c r="C730" i="4" l="1"/>
  <c r="B731" i="4"/>
  <c r="C731" i="4" a="1"/>
  <c r="C731" i="4" l="1"/>
  <c r="B732" i="4"/>
  <c r="C732" i="4" a="1"/>
  <c r="C732" i="4" l="1"/>
  <c r="B733" i="4"/>
  <c r="C733" i="4" a="1"/>
  <c r="C733" i="4" l="1"/>
  <c r="B734" i="4"/>
  <c r="C734" i="4" a="1"/>
  <c r="C734" i="4" l="1"/>
  <c r="B735" i="4"/>
  <c r="C735" i="4" a="1"/>
  <c r="C735" i="4" l="1"/>
  <c r="B736" i="4"/>
  <c r="C736" i="4" a="1"/>
  <c r="C736" i="4" l="1"/>
  <c r="B737" i="4"/>
  <c r="C737" i="4" a="1"/>
  <c r="C737" i="4" l="1"/>
  <c r="B738" i="4"/>
  <c r="C738" i="4" a="1"/>
  <c r="C738" i="4" l="1"/>
  <c r="B739" i="4"/>
  <c r="C739" i="4" a="1"/>
  <c r="C739" i="4" l="1"/>
  <c r="B740" i="4"/>
  <c r="C740" i="4" a="1"/>
  <c r="C740" i="4" l="1"/>
  <c r="B741" i="4"/>
  <c r="C741" i="4" a="1"/>
  <c r="C741" i="4" l="1"/>
  <c r="B742" i="4"/>
  <c r="C742" i="4" a="1"/>
  <c r="C742" i="4" l="1"/>
  <c r="B743" i="4"/>
  <c r="C743" i="4" a="1"/>
  <c r="C743" i="4" l="1"/>
  <c r="B744" i="4"/>
  <c r="C744" i="4" a="1"/>
  <c r="C744" i="4" l="1"/>
  <c r="B745" i="4"/>
  <c r="C745" i="4" a="1"/>
  <c r="C745" i="4" l="1"/>
  <c r="B746" i="4"/>
  <c r="C746" i="4" a="1"/>
  <c r="C746" i="4" l="1"/>
  <c r="B747" i="4"/>
  <c r="C747" i="4" a="1"/>
  <c r="C747" i="4" l="1"/>
  <c r="B748" i="4"/>
  <c r="C748" i="4" a="1"/>
  <c r="C748" i="4" l="1"/>
  <c r="B749" i="4"/>
  <c r="C749" i="4" a="1"/>
  <c r="C749" i="4" l="1"/>
  <c r="B750" i="4"/>
  <c r="C750" i="4" a="1"/>
  <c r="C750" i="4" l="1"/>
  <c r="B751" i="4"/>
  <c r="C751" i="4" a="1"/>
  <c r="C751" i="4" l="1"/>
  <c r="B752" i="4"/>
  <c r="C752" i="4" a="1"/>
  <c r="C752" i="4" l="1"/>
  <c r="B753" i="4"/>
  <c r="C753" i="4" a="1"/>
  <c r="C753" i="4" l="1"/>
  <c r="B754" i="4"/>
  <c r="C754" i="4" a="1"/>
  <c r="C754" i="4" l="1"/>
  <c r="B755" i="4"/>
  <c r="C755" i="4" a="1"/>
  <c r="C755" i="4" l="1"/>
  <c r="B756" i="4"/>
  <c r="C756" i="4" a="1"/>
  <c r="C756" i="4" l="1"/>
  <c r="B757" i="4"/>
  <c r="C757" i="4" a="1"/>
  <c r="C757" i="4" l="1"/>
  <c r="B758" i="4"/>
  <c r="C758" i="4" a="1"/>
  <c r="C758" i="4" l="1"/>
  <c r="B759" i="4"/>
  <c r="C759" i="4" a="1"/>
  <c r="C759" i="4" l="1"/>
  <c r="B760" i="4"/>
  <c r="C760" i="4" a="1"/>
  <c r="C760" i="4" l="1"/>
  <c r="B761" i="4"/>
  <c r="C761" i="4" a="1"/>
  <c r="C761" i="4" l="1"/>
  <c r="B762" i="4"/>
  <c r="C762" i="4" a="1"/>
  <c r="C762" i="4" l="1"/>
  <c r="B763" i="4"/>
  <c r="C763" i="4" a="1"/>
  <c r="C763" i="4" l="1"/>
  <c r="B764" i="4"/>
  <c r="C764" i="4" a="1"/>
  <c r="C764" i="4" l="1"/>
  <c r="B765" i="4"/>
  <c r="C765" i="4" a="1"/>
  <c r="C765" i="4" l="1"/>
  <c r="B766" i="4"/>
  <c r="C766" i="4" a="1"/>
  <c r="C766" i="4" l="1"/>
  <c r="B767" i="4"/>
  <c r="C767" i="4" a="1"/>
  <c r="C767" i="4" l="1"/>
  <c r="B768" i="4"/>
  <c r="C768" i="4" a="1"/>
  <c r="C768" i="4" l="1"/>
  <c r="B769" i="4"/>
  <c r="C769" i="4" a="1"/>
  <c r="C769" i="4" l="1"/>
  <c r="B770" i="4"/>
  <c r="C770" i="4" a="1"/>
  <c r="C770" i="4" l="1"/>
  <c r="B771" i="4"/>
  <c r="C771" i="4" a="1"/>
  <c r="C771" i="4" l="1"/>
  <c r="B772" i="4"/>
  <c r="C772" i="4" a="1"/>
  <c r="C772" i="4" l="1"/>
  <c r="B773" i="4"/>
  <c r="C773" i="4" a="1"/>
  <c r="C773" i="4" l="1"/>
  <c r="B774" i="4"/>
  <c r="C774" i="4" a="1"/>
  <c r="C774" i="4" l="1"/>
  <c r="B775" i="4"/>
  <c r="C775" i="4" a="1"/>
  <c r="C775" i="4" l="1"/>
  <c r="B776" i="4"/>
  <c r="C776" i="4" a="1"/>
  <c r="C776" i="4" l="1"/>
  <c r="B777" i="4"/>
  <c r="C777" i="4" a="1"/>
  <c r="C777" i="4" l="1"/>
  <c r="B778" i="4"/>
  <c r="C778" i="4" a="1"/>
  <c r="C778" i="4" l="1"/>
  <c r="B779" i="4"/>
  <c r="C779" i="4" a="1"/>
  <c r="C779" i="4" l="1"/>
  <c r="B780" i="4"/>
  <c r="C780" i="4" a="1"/>
  <c r="C780" i="4" l="1"/>
  <c r="B781" i="4"/>
  <c r="C781" i="4" a="1"/>
  <c r="C781" i="4" l="1"/>
  <c r="B782" i="4"/>
  <c r="C782" i="4" a="1"/>
  <c r="C782" i="4" l="1"/>
  <c r="B783" i="4"/>
  <c r="C783" i="4" a="1"/>
  <c r="C783" i="4" l="1"/>
  <c r="B784" i="4"/>
  <c r="C784" i="4" a="1"/>
  <c r="C784" i="4" l="1"/>
  <c r="B785" i="4"/>
  <c r="C785" i="4" a="1"/>
  <c r="C785" i="4" l="1"/>
  <c r="B786" i="4"/>
  <c r="C786" i="4" a="1"/>
  <c r="C786" i="4" l="1"/>
  <c r="B787" i="4"/>
  <c r="C787" i="4" a="1"/>
  <c r="C787" i="4" l="1"/>
  <c r="B788" i="4"/>
  <c r="C788" i="4" a="1"/>
  <c r="C788" i="4" l="1"/>
  <c r="B789" i="4"/>
  <c r="C789" i="4" a="1"/>
  <c r="C789" i="4" l="1"/>
  <c r="B790" i="4"/>
  <c r="C790" i="4" a="1"/>
  <c r="C790" i="4" l="1"/>
  <c r="B791" i="4"/>
  <c r="C791" i="4" a="1"/>
  <c r="C791" i="4" l="1"/>
  <c r="B792" i="4"/>
  <c r="C792" i="4" a="1"/>
  <c r="C792" i="4" l="1"/>
  <c r="B793" i="4"/>
  <c r="C793" i="4" a="1"/>
  <c r="C793" i="4" l="1"/>
  <c r="B794" i="4"/>
  <c r="C794" i="4" a="1"/>
  <c r="C794" i="4" l="1"/>
  <c r="B795" i="4"/>
  <c r="C795" i="4" a="1"/>
  <c r="C795" i="4" l="1"/>
  <c r="B796" i="4"/>
  <c r="C796" i="4" a="1"/>
  <c r="C796" i="4" l="1"/>
  <c r="B797" i="4"/>
  <c r="C797" i="4" a="1"/>
  <c r="C797" i="4" l="1"/>
  <c r="B798" i="4"/>
  <c r="C798" i="4" a="1"/>
  <c r="C798" i="4" l="1"/>
  <c r="B799" i="4"/>
  <c r="C799" i="4" a="1"/>
  <c r="C799" i="4" l="1"/>
  <c r="B800" i="4"/>
  <c r="C800" i="4" a="1"/>
  <c r="C800" i="4" l="1"/>
  <c r="B801" i="4"/>
  <c r="C801" i="4" a="1"/>
  <c r="C801" i="4" l="1"/>
  <c r="B802" i="4"/>
  <c r="C802" i="4" a="1"/>
  <c r="C802" i="4" l="1"/>
  <c r="B803" i="4"/>
  <c r="C803" i="4" a="1"/>
  <c r="C803" i="4" l="1"/>
  <c r="B804" i="4"/>
  <c r="C804" i="4" a="1"/>
  <c r="C804" i="4" l="1"/>
  <c r="B805" i="4"/>
  <c r="C805" i="4" a="1"/>
  <c r="C805" i="4" l="1"/>
  <c r="B806" i="4"/>
  <c r="C806" i="4" a="1"/>
  <c r="C806" i="4" l="1"/>
  <c r="B807" i="4"/>
  <c r="C807" i="4" a="1"/>
  <c r="C807" i="4" l="1"/>
  <c r="B808" i="4"/>
  <c r="C808" i="4" a="1"/>
  <c r="C808" i="4" l="1"/>
  <c r="B809" i="4"/>
  <c r="C809" i="4" a="1"/>
  <c r="C809" i="4" l="1"/>
  <c r="B810" i="4"/>
  <c r="C810" i="4" a="1"/>
  <c r="C810" i="4" l="1"/>
  <c r="B811" i="4"/>
  <c r="C811" i="4" a="1"/>
  <c r="C811" i="4" l="1"/>
  <c r="B812" i="4"/>
  <c r="C812" i="4" a="1"/>
  <c r="C812" i="4" l="1"/>
  <c r="B813" i="4"/>
  <c r="C813" i="4" a="1"/>
  <c r="C813" i="4" l="1"/>
  <c r="B814" i="4"/>
  <c r="C814" i="4" a="1"/>
  <c r="C814" i="4" l="1"/>
  <c r="B815" i="4"/>
  <c r="C815" i="4" a="1"/>
  <c r="C815" i="4" l="1"/>
  <c r="B816" i="4"/>
  <c r="C816" i="4" a="1"/>
  <c r="C816" i="4" l="1"/>
  <c r="B817" i="4"/>
  <c r="C817" i="4" a="1"/>
  <c r="C817" i="4" l="1"/>
  <c r="B818" i="4"/>
  <c r="C818" i="4" a="1"/>
  <c r="C818" i="4" l="1"/>
  <c r="B819" i="4"/>
  <c r="C819" i="4" a="1"/>
  <c r="C819" i="4" l="1"/>
  <c r="B820" i="4"/>
  <c r="C820" i="4" a="1"/>
  <c r="C820" i="4" l="1"/>
  <c r="B821" i="4"/>
  <c r="C821" i="4" a="1"/>
  <c r="C821" i="4" l="1"/>
  <c r="B822" i="4"/>
  <c r="C822" i="4" a="1"/>
  <c r="C822" i="4" l="1"/>
  <c r="B823" i="4"/>
  <c r="C823" i="4" a="1"/>
  <c r="C823" i="4" l="1"/>
  <c r="B824" i="4"/>
  <c r="C824" i="4" a="1"/>
  <c r="C824" i="4" l="1"/>
  <c r="B825" i="4"/>
  <c r="C825" i="4" a="1"/>
  <c r="C825" i="4" l="1"/>
  <c r="B826" i="4"/>
  <c r="C826" i="4" a="1"/>
  <c r="C826" i="4" l="1"/>
  <c r="B827" i="4"/>
  <c r="C827" i="4" a="1"/>
  <c r="C827" i="4" l="1"/>
  <c r="B828" i="4"/>
  <c r="C828" i="4" a="1"/>
  <c r="C828" i="4" l="1"/>
  <c r="B829" i="4"/>
  <c r="C829" i="4" a="1"/>
  <c r="C829" i="4" l="1"/>
  <c r="B830" i="4"/>
  <c r="C830" i="4" a="1"/>
  <c r="C830" i="4" l="1"/>
  <c r="B831" i="4"/>
  <c r="C831" i="4" a="1"/>
  <c r="C831" i="4" l="1"/>
  <c r="B832" i="4"/>
  <c r="C832" i="4" a="1"/>
  <c r="C832" i="4" l="1"/>
  <c r="B833" i="4"/>
  <c r="C833" i="4" a="1"/>
  <c r="C833" i="4" l="1"/>
  <c r="B834" i="4"/>
  <c r="C834" i="4" a="1"/>
  <c r="C834" i="4" l="1"/>
  <c r="B835" i="4"/>
  <c r="C835" i="4" a="1"/>
  <c r="C835" i="4" l="1"/>
  <c r="B836" i="4"/>
  <c r="C836" i="4" a="1"/>
  <c r="C836" i="4" l="1"/>
  <c r="B837" i="4"/>
  <c r="C837" i="4" a="1"/>
  <c r="C837" i="4" l="1"/>
  <c r="B838" i="4"/>
  <c r="C838" i="4" a="1"/>
  <c r="C838" i="4" l="1"/>
  <c r="B839" i="4"/>
  <c r="C839" i="4" a="1"/>
  <c r="C839" i="4" l="1"/>
  <c r="B840" i="4"/>
  <c r="C840" i="4" a="1"/>
  <c r="C840" i="4" l="1"/>
  <c r="B841" i="4"/>
  <c r="C841" i="4" a="1"/>
  <c r="C841" i="4" l="1"/>
  <c r="B842" i="4"/>
  <c r="C842" i="4" a="1"/>
  <c r="C842" i="4" l="1"/>
  <c r="B843" i="4"/>
  <c r="C843" i="4" a="1"/>
  <c r="C843" i="4" l="1"/>
  <c r="B844" i="4"/>
  <c r="C844" i="4" a="1"/>
  <c r="C844" i="4" l="1"/>
  <c r="B845" i="4"/>
  <c r="C845" i="4" a="1"/>
  <c r="C845" i="4" l="1"/>
  <c r="B846" i="4"/>
  <c r="C846" i="4" a="1"/>
  <c r="C846" i="4" l="1"/>
  <c r="B847" i="4"/>
  <c r="C847" i="4" a="1"/>
  <c r="C847" i="4" l="1"/>
  <c r="B848" i="4"/>
  <c r="C848" i="4" a="1"/>
  <c r="C848" i="4" l="1"/>
  <c r="B849" i="4"/>
  <c r="C849" i="4" a="1"/>
  <c r="C849" i="4" l="1"/>
  <c r="B850" i="4"/>
  <c r="C850" i="4" a="1"/>
  <c r="C850" i="4" l="1"/>
  <c r="B851" i="4"/>
  <c r="C851" i="4" a="1"/>
  <c r="C851" i="4" l="1"/>
  <c r="B852" i="4"/>
  <c r="C852" i="4" a="1"/>
  <c r="C852" i="4" l="1"/>
  <c r="B853" i="4"/>
  <c r="C853" i="4" a="1"/>
  <c r="C853" i="4" l="1"/>
  <c r="B854" i="4"/>
  <c r="C854" i="4" a="1"/>
  <c r="C854" i="4" l="1"/>
  <c r="B855" i="4"/>
  <c r="C855" i="4" a="1"/>
  <c r="C855" i="4" l="1"/>
  <c r="B856" i="4"/>
  <c r="C856" i="4" a="1"/>
  <c r="C856" i="4" l="1"/>
  <c r="B857" i="4"/>
  <c r="C857" i="4" a="1"/>
  <c r="C857" i="4" l="1"/>
  <c r="B858" i="4"/>
  <c r="C858" i="4" a="1"/>
  <c r="C858" i="4" l="1"/>
  <c r="B859" i="4"/>
  <c r="C859" i="4" a="1"/>
  <c r="C859" i="4" l="1"/>
  <c r="B860" i="4"/>
  <c r="C860" i="4" a="1"/>
  <c r="C860" i="4" l="1"/>
  <c r="B861" i="4"/>
  <c r="C861" i="4" a="1"/>
  <c r="C861" i="4" l="1"/>
  <c r="B862" i="4"/>
  <c r="C862" i="4" a="1"/>
  <c r="C862" i="4" l="1"/>
  <c r="B863" i="4"/>
  <c r="C863" i="4" a="1"/>
  <c r="C863" i="4" l="1"/>
  <c r="B864" i="4"/>
  <c r="C864" i="4" a="1"/>
  <c r="C864" i="4" l="1"/>
  <c r="B865" i="4"/>
  <c r="C865" i="4" a="1"/>
  <c r="C865" i="4" l="1"/>
  <c r="B866" i="4"/>
  <c r="C866" i="4" a="1"/>
  <c r="C866" i="4" l="1"/>
  <c r="B867" i="4"/>
  <c r="C867" i="4" a="1"/>
  <c r="C867" i="4" l="1"/>
  <c r="B868" i="4"/>
  <c r="C868" i="4" a="1"/>
  <c r="C868" i="4" l="1"/>
  <c r="B869" i="4"/>
  <c r="C869" i="4" a="1"/>
  <c r="C869" i="4" l="1"/>
  <c r="B870" i="4"/>
  <c r="C870" i="4" a="1"/>
  <c r="C870" i="4" l="1"/>
  <c r="B871" i="4"/>
  <c r="C871" i="4" a="1"/>
  <c r="C871" i="4" l="1"/>
  <c r="B872" i="4"/>
  <c r="C872" i="4" a="1"/>
  <c r="C872" i="4" l="1"/>
  <c r="B873" i="4"/>
  <c r="C873" i="4" a="1"/>
  <c r="C873" i="4" l="1"/>
  <c r="B874" i="4"/>
  <c r="C874" i="4" a="1"/>
  <c r="C874" i="4" l="1"/>
  <c r="B875" i="4"/>
  <c r="C875" i="4" a="1"/>
  <c r="C875" i="4" l="1"/>
  <c r="B876" i="4"/>
  <c r="C876" i="4" a="1"/>
  <c r="C876" i="4" l="1"/>
  <c r="B877" i="4"/>
  <c r="C877" i="4" a="1"/>
  <c r="C877" i="4" l="1"/>
  <c r="B878" i="4"/>
  <c r="C878" i="4" a="1"/>
  <c r="C878" i="4" l="1"/>
  <c r="B879" i="4"/>
  <c r="C879" i="4" a="1"/>
  <c r="C879" i="4" l="1"/>
  <c r="B880" i="4"/>
  <c r="C880" i="4" a="1"/>
  <c r="C880" i="4" l="1"/>
  <c r="B881" i="4"/>
  <c r="C881" i="4" a="1"/>
  <c r="C881" i="4" l="1"/>
  <c r="B882" i="4"/>
  <c r="C882" i="4" a="1"/>
  <c r="C882" i="4" l="1"/>
  <c r="B883" i="4"/>
  <c r="C883" i="4" a="1"/>
  <c r="C883" i="4" l="1"/>
  <c r="B884" i="4"/>
  <c r="C884" i="4" a="1"/>
  <c r="C884" i="4" l="1"/>
  <c r="B885" i="4"/>
  <c r="C885" i="4" a="1"/>
  <c r="C885" i="4" l="1"/>
  <c r="B886" i="4"/>
  <c r="C886" i="4" a="1"/>
  <c r="C886" i="4" l="1"/>
  <c r="B887" i="4"/>
  <c r="C887" i="4" a="1"/>
  <c r="C887" i="4" l="1"/>
  <c r="B888" i="4"/>
  <c r="C888" i="4" a="1"/>
  <c r="C888" i="4" l="1"/>
  <c r="B889" i="4"/>
  <c r="C889" i="4" a="1"/>
  <c r="C889" i="4" l="1"/>
  <c r="B890" i="4"/>
  <c r="C890" i="4" a="1"/>
  <c r="C890" i="4" l="1"/>
  <c r="B891" i="4"/>
  <c r="C891" i="4" a="1"/>
  <c r="C891" i="4" l="1"/>
  <c r="B892" i="4"/>
  <c r="C892" i="4" a="1"/>
  <c r="C892" i="4" l="1"/>
  <c r="B893" i="4"/>
  <c r="C893" i="4" a="1"/>
  <c r="C893" i="4" l="1"/>
  <c r="B894" i="4"/>
  <c r="C894" i="4" a="1"/>
  <c r="C894" i="4" l="1"/>
  <c r="B895" i="4"/>
  <c r="C895" i="4" a="1"/>
  <c r="C895" i="4" l="1"/>
  <c r="B896" i="4"/>
  <c r="C896" i="4" a="1"/>
  <c r="C896" i="4" l="1"/>
  <c r="B897" i="4"/>
  <c r="C897" i="4" a="1"/>
  <c r="C897" i="4" l="1"/>
  <c r="B898" i="4"/>
  <c r="C898" i="4" a="1"/>
  <c r="C898" i="4" l="1"/>
  <c r="B899" i="4"/>
  <c r="C899" i="4" a="1"/>
  <c r="C899" i="4" l="1"/>
  <c r="B900" i="4"/>
  <c r="C900" i="4" a="1"/>
  <c r="C900" i="4" l="1"/>
  <c r="B901" i="4"/>
  <c r="C901" i="4" a="1"/>
  <c r="C901" i="4" l="1"/>
  <c r="B902" i="4"/>
  <c r="C902" i="4" a="1"/>
  <c r="C902" i="4" l="1"/>
  <c r="B903" i="4"/>
  <c r="C903" i="4" a="1"/>
  <c r="C903" i="4" l="1"/>
  <c r="B904" i="4"/>
  <c r="C904" i="4" a="1"/>
  <c r="C904" i="4" l="1"/>
  <c r="B905" i="4"/>
  <c r="C905" i="4" a="1"/>
  <c r="C905" i="4" l="1"/>
  <c r="B906" i="4"/>
  <c r="C906" i="4" a="1"/>
  <c r="C906" i="4" l="1"/>
  <c r="B907" i="4"/>
  <c r="C907" i="4" a="1"/>
  <c r="C907" i="4" l="1"/>
  <c r="B908" i="4"/>
  <c r="C908" i="4" a="1"/>
  <c r="C908" i="4" l="1"/>
  <c r="B909" i="4"/>
  <c r="C909" i="4" a="1"/>
  <c r="C909" i="4" l="1"/>
  <c r="B910" i="4"/>
  <c r="C910" i="4" a="1"/>
  <c r="C910" i="4" l="1"/>
  <c r="B911" i="4"/>
  <c r="C911" i="4" a="1"/>
  <c r="C911" i="4" l="1"/>
  <c r="B912" i="4"/>
  <c r="C912" i="4" a="1"/>
  <c r="C912" i="4" l="1"/>
  <c r="B913" i="4"/>
  <c r="C913" i="4" a="1"/>
  <c r="C913" i="4" l="1"/>
  <c r="B914" i="4"/>
  <c r="C914" i="4" a="1"/>
  <c r="C914" i="4" l="1"/>
  <c r="B915" i="4"/>
  <c r="C915" i="4" a="1"/>
  <c r="C915" i="4" l="1"/>
  <c r="B916" i="4"/>
  <c r="C916" i="4" a="1"/>
  <c r="C916" i="4" l="1"/>
  <c r="B917" i="4"/>
  <c r="C917" i="4" a="1"/>
  <c r="C917" i="4" l="1"/>
  <c r="B918" i="4"/>
  <c r="C918" i="4" a="1"/>
  <c r="C918" i="4" l="1"/>
  <c r="B919" i="4"/>
  <c r="C919" i="4" a="1"/>
  <c r="C919" i="4" l="1"/>
  <c r="B920" i="4"/>
  <c r="C920" i="4" a="1"/>
  <c r="C920" i="4" l="1"/>
  <c r="B921" i="4"/>
  <c r="C921" i="4" a="1"/>
  <c r="C921" i="4" l="1"/>
  <c r="B922" i="4"/>
  <c r="C922" i="4" a="1"/>
  <c r="C922" i="4" l="1"/>
  <c r="B923" i="4"/>
  <c r="C923" i="4" a="1"/>
  <c r="C923" i="4" l="1"/>
  <c r="B924" i="4"/>
  <c r="C924" i="4" a="1"/>
  <c r="C924" i="4" l="1"/>
  <c r="B925" i="4"/>
  <c r="C925" i="4" a="1"/>
  <c r="C925" i="4" l="1"/>
  <c r="B926" i="4"/>
  <c r="C926" i="4" a="1"/>
  <c r="C926" i="4" l="1"/>
  <c r="B927" i="4"/>
  <c r="C927" i="4" a="1"/>
  <c r="C927" i="4" l="1"/>
  <c r="B928" i="4"/>
  <c r="C928" i="4" a="1"/>
  <c r="C928" i="4" l="1"/>
  <c r="B929" i="4"/>
  <c r="C929" i="4" a="1"/>
  <c r="C929" i="4" l="1"/>
  <c r="B930" i="4"/>
  <c r="C930" i="4" a="1"/>
  <c r="C930" i="4" l="1"/>
  <c r="B931" i="4"/>
  <c r="C931" i="4" a="1"/>
  <c r="C931" i="4" l="1"/>
  <c r="B932" i="4"/>
  <c r="C932" i="4" a="1"/>
  <c r="C932" i="4" l="1"/>
  <c r="B933" i="4"/>
  <c r="C933" i="4" a="1"/>
  <c r="C933" i="4" l="1"/>
  <c r="B934" i="4"/>
  <c r="C934" i="4" a="1"/>
  <c r="C934" i="4" l="1"/>
  <c r="B935" i="4"/>
  <c r="C935" i="4" a="1"/>
  <c r="C935" i="4" l="1"/>
  <c r="B936" i="4"/>
  <c r="C936" i="4" a="1"/>
  <c r="C936" i="4" l="1"/>
  <c r="B937" i="4"/>
  <c r="C937" i="4" a="1"/>
  <c r="C937" i="4" l="1"/>
  <c r="B938" i="4"/>
  <c r="C938" i="4" a="1"/>
  <c r="C938" i="4" l="1"/>
  <c r="B939" i="4"/>
  <c r="C939" i="4" a="1"/>
  <c r="C939" i="4" l="1"/>
  <c r="B940" i="4"/>
  <c r="C940" i="4" a="1"/>
  <c r="C940" i="4" l="1"/>
  <c r="B941" i="4"/>
  <c r="C941" i="4" a="1"/>
  <c r="C941" i="4" l="1"/>
  <c r="B942" i="4"/>
  <c r="C942" i="4" a="1"/>
  <c r="C942" i="4" l="1"/>
  <c r="B943" i="4"/>
  <c r="C943" i="4" a="1"/>
  <c r="C943" i="4" l="1"/>
  <c r="B944" i="4"/>
  <c r="C944" i="4" a="1"/>
  <c r="C944" i="4" l="1"/>
  <c r="B945" i="4"/>
  <c r="C945" i="4" a="1"/>
  <c r="C945" i="4" l="1"/>
  <c r="B946" i="4"/>
  <c r="C946" i="4" a="1"/>
  <c r="C946" i="4" l="1"/>
  <c r="B947" i="4"/>
  <c r="C947" i="4" a="1"/>
  <c r="C947" i="4" l="1"/>
  <c r="B948" i="4"/>
  <c r="C948" i="4" a="1"/>
  <c r="C948" i="4" l="1"/>
  <c r="B949" i="4"/>
  <c r="C949" i="4" a="1"/>
  <c r="C949" i="4" l="1"/>
  <c r="B950" i="4"/>
  <c r="C950" i="4" a="1"/>
  <c r="C950" i="4" l="1"/>
  <c r="B951" i="4"/>
  <c r="C951" i="4" a="1"/>
  <c r="C951" i="4" l="1"/>
  <c r="B952" i="4"/>
  <c r="C952" i="4" a="1"/>
  <c r="C952" i="4" l="1"/>
  <c r="B953" i="4"/>
  <c r="C953" i="4" a="1"/>
  <c r="C953" i="4" l="1"/>
  <c r="B954" i="4"/>
  <c r="C954" i="4" a="1"/>
  <c r="C954" i="4" l="1"/>
  <c r="B955" i="4"/>
  <c r="C955" i="4" a="1"/>
  <c r="C955" i="4" l="1"/>
  <c r="B956" i="4"/>
  <c r="C956" i="4" a="1"/>
  <c r="C956" i="4" l="1"/>
  <c r="B957" i="4"/>
  <c r="C957" i="4" a="1"/>
  <c r="C957" i="4" l="1"/>
  <c r="B958" i="4"/>
  <c r="C958" i="4" a="1"/>
  <c r="C958" i="4" l="1"/>
  <c r="B959" i="4"/>
  <c r="C959" i="4" a="1"/>
  <c r="C959" i="4" l="1"/>
  <c r="B960" i="4"/>
  <c r="C960" i="4" a="1"/>
  <c r="C960" i="4" l="1"/>
  <c r="B961" i="4"/>
  <c r="C961" i="4" a="1"/>
  <c r="C961" i="4" l="1"/>
  <c r="B962" i="4"/>
  <c r="C962" i="4" a="1"/>
  <c r="C962" i="4" l="1"/>
  <c r="B963" i="4"/>
  <c r="C963" i="4" a="1"/>
  <c r="C963" i="4" l="1"/>
  <c r="B964" i="4"/>
  <c r="C964" i="4" a="1"/>
  <c r="C964" i="4" l="1"/>
  <c r="B965" i="4"/>
  <c r="C965" i="4" a="1"/>
  <c r="C965" i="4" l="1"/>
  <c r="B966" i="4"/>
  <c r="C966" i="4" a="1"/>
  <c r="C966" i="4" l="1"/>
  <c r="B967" i="4"/>
  <c r="C967" i="4" a="1"/>
  <c r="C967" i="4" l="1"/>
  <c r="B968" i="4"/>
  <c r="C968" i="4" a="1"/>
  <c r="C968" i="4" l="1"/>
  <c r="B969" i="4"/>
  <c r="C969" i="4" a="1"/>
  <c r="C969" i="4" l="1"/>
  <c r="B970" i="4"/>
  <c r="C970" i="4" a="1"/>
  <c r="C970" i="4" l="1"/>
  <c r="B971" i="4"/>
  <c r="C971" i="4" a="1"/>
  <c r="C971" i="4" l="1"/>
  <c r="B972" i="4"/>
  <c r="C972" i="4" a="1"/>
  <c r="C972" i="4" l="1"/>
  <c r="B973" i="4"/>
  <c r="C973" i="4" a="1"/>
  <c r="C973" i="4" l="1"/>
  <c r="B974" i="4"/>
  <c r="C974" i="4" a="1"/>
  <c r="C974" i="4" l="1"/>
  <c r="B975" i="4"/>
  <c r="C975" i="4" a="1"/>
  <c r="C975" i="4" l="1"/>
  <c r="B976" i="4"/>
  <c r="C976" i="4" a="1"/>
  <c r="C976" i="4" l="1"/>
  <c r="B977" i="4"/>
  <c r="C977" i="4" a="1"/>
  <c r="C977" i="4" l="1"/>
  <c r="B978" i="4"/>
  <c r="C978" i="4" a="1"/>
  <c r="C978" i="4" l="1"/>
  <c r="B979" i="4"/>
  <c r="C979" i="4" a="1"/>
  <c r="C979" i="4" l="1"/>
  <c r="B980" i="4"/>
  <c r="C980" i="4" a="1"/>
  <c r="C980" i="4" l="1"/>
  <c r="B981" i="4"/>
  <c r="C981" i="4" a="1"/>
  <c r="C981" i="4" l="1"/>
  <c r="B982" i="4"/>
  <c r="C982" i="4" a="1"/>
  <c r="C982" i="4" l="1"/>
  <c r="B983" i="4"/>
  <c r="C983" i="4" a="1"/>
  <c r="C983" i="4" l="1"/>
  <c r="B984" i="4"/>
  <c r="C984" i="4" a="1"/>
  <c r="C984" i="4" l="1"/>
  <c r="B985" i="4"/>
  <c r="C985" i="4" a="1"/>
  <c r="C985" i="4" l="1"/>
  <c r="B986" i="4"/>
  <c r="C986" i="4" a="1"/>
  <c r="C986" i="4" l="1"/>
  <c r="B987" i="4"/>
  <c r="C987" i="4" a="1"/>
  <c r="C987" i="4" l="1"/>
  <c r="B988" i="4"/>
  <c r="C988" i="4" a="1"/>
  <c r="C988" i="4" l="1"/>
  <c r="B989" i="4"/>
  <c r="C989" i="4" a="1"/>
  <c r="C989" i="4" l="1"/>
  <c r="B990" i="4"/>
  <c r="C990" i="4" a="1"/>
  <c r="C990" i="4" l="1"/>
  <c r="B991" i="4"/>
  <c r="C991" i="4" a="1"/>
  <c r="C991" i="4" l="1"/>
  <c r="B992" i="4"/>
  <c r="C992" i="4" a="1"/>
  <c r="C992" i="4" l="1"/>
  <c r="B993" i="4"/>
  <c r="C993" i="4" a="1"/>
  <c r="C993" i="4" l="1"/>
  <c r="B994" i="4"/>
  <c r="C994" i="4" a="1"/>
  <c r="C994" i="4" l="1"/>
  <c r="B995" i="4"/>
  <c r="C995" i="4" a="1"/>
  <c r="C995" i="4" l="1"/>
  <c r="B996" i="4"/>
  <c r="C996" i="4" a="1"/>
  <c r="C996" i="4" l="1"/>
  <c r="B997" i="4"/>
  <c r="C997" i="4" a="1"/>
  <c r="C997" i="4" l="1"/>
  <c r="B998" i="4"/>
  <c r="C998" i="4" a="1"/>
  <c r="C998" i="4" l="1"/>
  <c r="B999" i="4"/>
  <c r="C999" i="4" a="1"/>
  <c r="C999" i="4" l="1"/>
  <c r="B1000" i="4"/>
  <c r="C1000" i="4" a="1"/>
  <c r="C1000" i="4" l="1"/>
  <c r="B1001" i="4"/>
  <c r="C1001" i="4" a="1"/>
  <c r="C1001" i="4" l="1"/>
  <c r="B1002" i="4"/>
  <c r="D47" i="1" a="1"/>
  <c r="D48" i="1" a="1"/>
  <c r="D48" i="1" l="1"/>
  <c r="D47" i="1"/>
  <c r="D41" i="1"/>
  <c r="D43" i="1" a="1"/>
  <c r="D42" i="1" a="1"/>
  <c r="E46" i="1" l="1"/>
  <c r="D49" i="1"/>
  <c r="D42" i="1"/>
  <c r="D44" i="1" s="1"/>
  <c r="D43" i="1"/>
  <c r="E47" i="1" a="1"/>
  <c r="E48" i="1" a="1"/>
  <c r="E48" i="1" l="1"/>
  <c r="E47" i="1"/>
  <c r="E41" i="1"/>
  <c r="E49" i="1"/>
  <c r="E51" i="1"/>
  <c r="E50" i="1"/>
  <c r="D37" i="1"/>
  <c r="D39" i="1"/>
  <c r="E35" i="1" s="1"/>
  <c r="E42" i="1" a="1"/>
  <c r="E43" i="1" a="1"/>
  <c r="E36" i="1" a="1"/>
  <c r="F46" i="1" l="1"/>
  <c r="E43" i="1"/>
  <c r="E42" i="1"/>
  <c r="E36" i="1"/>
  <c r="F47" i="1" a="1"/>
  <c r="F48" i="1" a="1"/>
  <c r="F48" i="1" l="1"/>
  <c r="F47" i="1"/>
  <c r="E44" i="1"/>
  <c r="F41" i="1"/>
  <c r="E39" i="1"/>
  <c r="E38" i="1"/>
  <c r="E37" i="1"/>
  <c r="F51" i="1"/>
  <c r="F42" i="1" a="1"/>
  <c r="F43" i="1" a="1"/>
  <c r="F50" i="1" l="1"/>
  <c r="G46" i="1" s="1"/>
  <c r="F49" i="1"/>
  <c r="F43" i="1"/>
  <c r="F42" i="1"/>
  <c r="F44" i="1" s="1"/>
  <c r="G41" i="1"/>
  <c r="F35" i="1"/>
  <c r="G47" i="1" a="1"/>
  <c r="G48" i="1" a="1"/>
  <c r="G42" i="1" a="1"/>
  <c r="G43" i="1" a="1"/>
  <c r="F36" i="1" a="1"/>
  <c r="G48" i="1" l="1"/>
  <c r="G47" i="1"/>
  <c r="G50" i="1" s="1"/>
  <c r="G43" i="1"/>
  <c r="G42" i="1"/>
  <c r="G44" i="1" s="1"/>
  <c r="H41" i="1"/>
  <c r="F36" i="1"/>
  <c r="G49" i="1"/>
  <c r="H42" i="1" a="1"/>
  <c r="H43" i="1" a="1"/>
  <c r="G51" i="1" l="1"/>
  <c r="H46" i="1" s="1"/>
  <c r="H43" i="1"/>
  <c r="H42" i="1"/>
  <c r="H44" i="1" s="1"/>
  <c r="I41" i="1"/>
  <c r="F39" i="1"/>
  <c r="F37" i="1"/>
  <c r="F38" i="1"/>
  <c r="I42" i="1" a="1"/>
  <c r="I43" i="1" a="1"/>
  <c r="H47" i="1" a="1"/>
  <c r="H48" i="1" a="1"/>
  <c r="H48" i="1" l="1"/>
  <c r="H47" i="1"/>
  <c r="H49" i="1" s="1"/>
  <c r="I43" i="1"/>
  <c r="I42" i="1"/>
  <c r="I44" i="1" s="1"/>
  <c r="G35" i="1"/>
  <c r="H50" i="1"/>
  <c r="G36" i="1" a="1"/>
  <c r="J41" i="1" l="1"/>
  <c r="H51" i="1"/>
  <c r="I46" i="1" s="1"/>
  <c r="G36" i="1"/>
  <c r="G38" i="1" s="1"/>
  <c r="J43" i="1" a="1"/>
  <c r="J42" i="1" a="1"/>
  <c r="I47" i="1" a="1"/>
  <c r="I48" i="1" a="1"/>
  <c r="J42" i="1" l="1"/>
  <c r="J44" i="1" s="1"/>
  <c r="J43" i="1"/>
  <c r="K41" i="1"/>
  <c r="G39" i="1"/>
  <c r="H35" i="1" s="1"/>
  <c r="G37" i="1"/>
  <c r="I48" i="1"/>
  <c r="I47" i="1"/>
  <c r="I51" i="1" s="1"/>
  <c r="K42" i="1" a="1"/>
  <c r="K43" i="1" a="1"/>
  <c r="H36" i="1" a="1"/>
  <c r="K43" i="1" l="1"/>
  <c r="K42" i="1"/>
  <c r="I49" i="1"/>
  <c r="I50" i="1"/>
  <c r="J46" i="1" s="1"/>
  <c r="H36" i="1"/>
  <c r="H38" i="1" s="1"/>
  <c r="J47" i="1" a="1"/>
  <c r="J48" i="1" a="1"/>
  <c r="K44" i="1" l="1"/>
  <c r="L41" i="1"/>
  <c r="J48" i="1"/>
  <c r="J47" i="1"/>
  <c r="J50" i="1" s="1"/>
  <c r="H37" i="1"/>
  <c r="H39" i="1"/>
  <c r="I35" i="1" s="1"/>
  <c r="J49" i="1"/>
  <c r="L43" i="1" a="1"/>
  <c r="L42" i="1" a="1"/>
  <c r="I36" i="1" a="1"/>
  <c r="L42" i="1" l="1"/>
  <c r="L44" i="1" s="1"/>
  <c r="L43" i="1"/>
  <c r="M41" i="1" s="1"/>
  <c r="J51" i="1"/>
  <c r="K46" i="1" s="1"/>
  <c r="I36" i="1"/>
  <c r="I38" i="1" s="1"/>
  <c r="M42" i="1" a="1"/>
  <c r="M43" i="1" a="1"/>
  <c r="K47" i="1" a="1"/>
  <c r="K48" i="1" a="1"/>
  <c r="M43" i="1" l="1"/>
  <c r="M42" i="1"/>
  <c r="M44" i="1" s="1"/>
  <c r="I39" i="1"/>
  <c r="J35" i="1" s="1"/>
  <c r="N41" i="1"/>
  <c r="K48" i="1"/>
  <c r="K47" i="1"/>
  <c r="K49" i="1" s="1"/>
  <c r="I37" i="1"/>
  <c r="N43" i="1" a="1"/>
  <c r="N42" i="1" a="1"/>
  <c r="J36" i="1" a="1"/>
  <c r="K50" i="1" l="1"/>
  <c r="N42" i="1"/>
  <c r="N43" i="1"/>
  <c r="K51" i="1"/>
  <c r="J36" i="1"/>
  <c r="L46" i="1" l="1"/>
  <c r="N44" i="1"/>
  <c r="O41" i="1"/>
  <c r="J39" i="1"/>
  <c r="J38" i="1"/>
  <c r="J37" i="1"/>
  <c r="L48" i="1" a="1"/>
  <c r="L47" i="1" a="1"/>
  <c r="O43" i="1" a="1"/>
  <c r="O42" i="1" a="1"/>
  <c r="L47" i="1" l="1"/>
  <c r="L48" i="1"/>
  <c r="O42" i="1"/>
  <c r="O44" i="1" s="1"/>
  <c r="O43" i="1"/>
  <c r="P41" i="1" s="1"/>
  <c r="K35" i="1"/>
  <c r="P43" i="1" a="1"/>
  <c r="P42" i="1" a="1"/>
  <c r="K36" i="1" a="1"/>
  <c r="L49" i="1" l="1"/>
  <c r="L51" i="1"/>
  <c r="L50" i="1"/>
  <c r="M46" i="1" s="1"/>
  <c r="P42" i="1"/>
  <c r="P44" i="1" s="1"/>
  <c r="P43" i="1"/>
  <c r="K36" i="1"/>
  <c r="M47" i="1" a="1"/>
  <c r="M48" i="1" a="1"/>
  <c r="Q41" i="1" l="1"/>
  <c r="M48" i="1"/>
  <c r="M47" i="1"/>
  <c r="M51" i="1"/>
  <c r="M50" i="1"/>
  <c r="N46" i="1" s="1"/>
  <c r="M49" i="1"/>
  <c r="K39" i="1"/>
  <c r="K38" i="1"/>
  <c r="K37" i="1"/>
  <c r="Q43" i="1" a="1"/>
  <c r="Q42" i="1" a="1"/>
  <c r="Q42" i="1" l="1"/>
  <c r="Q43" i="1"/>
  <c r="L35" i="1"/>
  <c r="N47" i="1" a="1"/>
  <c r="N48" i="1" a="1"/>
  <c r="L36" i="1" a="1"/>
  <c r="Q44" i="1" l="1"/>
  <c r="R41" i="1"/>
  <c r="N48" i="1"/>
  <c r="N47" i="1"/>
  <c r="L36" i="1"/>
  <c r="N51" i="1"/>
  <c r="R43" i="1" a="1"/>
  <c r="R42" i="1" a="1"/>
  <c r="R42" i="1" l="1"/>
  <c r="R44" i="1" s="1"/>
  <c r="R43" i="1"/>
  <c r="S41" i="1" s="1"/>
  <c r="N50" i="1"/>
  <c r="O46" i="1" s="1"/>
  <c r="N49" i="1"/>
  <c r="L39" i="1"/>
  <c r="L37" i="1"/>
  <c r="L38" i="1"/>
  <c r="S43" i="1" a="1"/>
  <c r="S42" i="1" a="1"/>
  <c r="O47" i="1" a="1"/>
  <c r="O48" i="1" a="1"/>
  <c r="S42" i="1" l="1"/>
  <c r="S43" i="1"/>
  <c r="O48" i="1"/>
  <c r="O47" i="1"/>
  <c r="O50" i="1" s="1"/>
  <c r="M35" i="1"/>
  <c r="M36" i="1" a="1"/>
  <c r="O51" i="1" l="1"/>
  <c r="O49" i="1"/>
  <c r="S44" i="1"/>
  <c r="T41" i="1"/>
  <c r="P46" i="1"/>
  <c r="M36" i="1"/>
  <c r="T43" i="1" a="1"/>
  <c r="T42" i="1" a="1"/>
  <c r="P47" i="1" a="1"/>
  <c r="P48" i="1" a="1"/>
  <c r="T42" i="1" l="1"/>
  <c r="T44" i="1" s="1"/>
  <c r="T43" i="1"/>
  <c r="U41" i="1"/>
  <c r="P48" i="1"/>
  <c r="P47" i="1"/>
  <c r="M39" i="1"/>
  <c r="M38" i="1"/>
  <c r="M37" i="1"/>
  <c r="U43" i="1" a="1"/>
  <c r="U42" i="1" a="1"/>
  <c r="U42" i="1" l="1"/>
  <c r="U44" i="1" s="1"/>
  <c r="U43" i="1"/>
  <c r="P49" i="1"/>
  <c r="P50" i="1"/>
  <c r="Q46" i="1" s="1"/>
  <c r="P51" i="1"/>
  <c r="N35" i="1"/>
  <c r="N36" i="1" a="1"/>
  <c r="V41" i="1" l="1"/>
  <c r="N36" i="1"/>
  <c r="V43" i="1" a="1"/>
  <c r="V42" i="1" a="1"/>
  <c r="Q48" i="1" a="1"/>
  <c r="Q47" i="1" a="1"/>
  <c r="V42" i="1" l="1"/>
  <c r="V43" i="1"/>
  <c r="Q47" i="1"/>
  <c r="Q48" i="1"/>
  <c r="N39" i="1"/>
  <c r="N37" i="1"/>
  <c r="N38" i="1"/>
  <c r="V44" i="1" l="1"/>
  <c r="W41" i="1"/>
  <c r="Q50" i="1"/>
  <c r="Q49" i="1"/>
  <c r="Q51" i="1"/>
  <c r="R46" i="1" s="1"/>
  <c r="O35" i="1"/>
  <c r="W42" i="1" a="1"/>
  <c r="W43" i="1" a="1"/>
  <c r="R48" i="1" a="1"/>
  <c r="R47" i="1" a="1"/>
  <c r="O36" i="1" a="1"/>
  <c r="W43" i="1" l="1"/>
  <c r="W42" i="1"/>
  <c r="W44" i="1" s="1"/>
  <c r="R47" i="1"/>
  <c r="R48" i="1"/>
  <c r="O36" i="1"/>
  <c r="X41" i="1" l="1"/>
  <c r="R51" i="1"/>
  <c r="R49" i="1"/>
  <c r="R50" i="1"/>
  <c r="S46" i="1" s="1"/>
  <c r="O39" i="1"/>
  <c r="O37" i="1"/>
  <c r="O38" i="1"/>
  <c r="X43" i="1" a="1"/>
  <c r="X42" i="1" a="1"/>
  <c r="S47" i="1" a="1"/>
  <c r="S48" i="1" a="1"/>
  <c r="X42" i="1" l="1"/>
  <c r="X44" i="1" s="1"/>
  <c r="X43" i="1"/>
  <c r="S48" i="1"/>
  <c r="S47" i="1"/>
  <c r="P35" i="1"/>
  <c r="P36" i="1" a="1"/>
  <c r="S50" i="1" l="1"/>
  <c r="S49" i="1"/>
  <c r="S51" i="1"/>
  <c r="P36" i="1"/>
  <c r="P39" i="1" s="1"/>
  <c r="T46" i="1" l="1"/>
  <c r="P38" i="1"/>
  <c r="Q35" i="1" s="1"/>
  <c r="P37" i="1"/>
  <c r="T47" i="1" a="1"/>
  <c r="T48" i="1" a="1"/>
  <c r="Q36" i="1" a="1"/>
  <c r="T48" i="1" l="1"/>
  <c r="T47" i="1"/>
  <c r="Q36" i="1"/>
  <c r="T51" i="1" l="1"/>
  <c r="T49" i="1"/>
  <c r="T50" i="1"/>
  <c r="U46" i="1" s="1"/>
  <c r="Q39" i="1"/>
  <c r="Q38" i="1"/>
  <c r="Q37" i="1"/>
  <c r="U48" i="1" a="1"/>
  <c r="U47" i="1" a="1"/>
  <c r="U47" i="1" l="1"/>
  <c r="U48" i="1"/>
  <c r="R35" i="1"/>
  <c r="R36" i="1" a="1"/>
  <c r="U49" i="1" l="1"/>
  <c r="U51" i="1"/>
  <c r="U50" i="1"/>
  <c r="V46" i="1" s="1"/>
  <c r="R36" i="1"/>
  <c r="V47" i="1" a="1"/>
  <c r="V48" i="1" a="1"/>
  <c r="V48" i="1" l="1"/>
  <c r="V47" i="1"/>
  <c r="R39" i="1"/>
  <c r="R38" i="1"/>
  <c r="R37" i="1"/>
  <c r="V51" i="1" l="1"/>
  <c r="V50" i="1"/>
  <c r="V49" i="1"/>
  <c r="S35" i="1"/>
  <c r="S36" i="1" a="1"/>
  <c r="W46" i="1" l="1"/>
  <c r="S36" i="1"/>
  <c r="W48" i="1" a="1"/>
  <c r="W47" i="1" a="1"/>
  <c r="W47" i="1" l="1"/>
  <c r="W48" i="1"/>
  <c r="S39" i="1"/>
  <c r="S37" i="1"/>
  <c r="S38" i="1"/>
  <c r="W51" i="1" l="1"/>
  <c r="W49" i="1"/>
  <c r="W50" i="1"/>
  <c r="T35" i="1"/>
  <c r="T36" i="1" a="1"/>
  <c r="X46" i="1" l="1"/>
  <c r="T36" i="1"/>
  <c r="X48" i="1" a="1"/>
  <c r="X47" i="1" a="1"/>
  <c r="X47" i="1" l="1"/>
  <c r="X51" i="1" s="1"/>
  <c r="X48" i="1"/>
  <c r="T39" i="1"/>
  <c r="T37" i="1"/>
  <c r="T38" i="1"/>
  <c r="X49" i="1" l="1"/>
  <c r="X50" i="1"/>
  <c r="U35" i="1"/>
  <c r="U36" i="1" a="1"/>
  <c r="U36" i="1" l="1"/>
  <c r="U39" i="1" l="1"/>
  <c r="U37" i="1"/>
  <c r="U38" i="1"/>
  <c r="V35" i="1" l="1"/>
  <c r="V36" i="1" a="1"/>
  <c r="V36" i="1" l="1"/>
  <c r="V39" i="1" l="1"/>
  <c r="V38" i="1"/>
  <c r="V37" i="1"/>
  <c r="W35" i="1" l="1"/>
  <c r="W36" i="1" a="1"/>
  <c r="W36" i="1" l="1"/>
  <c r="W39" i="1" l="1"/>
  <c r="W38" i="1"/>
  <c r="W37" i="1"/>
  <c r="X35" i="1" l="1"/>
  <c r="X36" i="1" a="1"/>
  <c r="X36" i="1" l="1"/>
  <c r="X37" i="1" l="1"/>
  <c r="X38" i="1"/>
  <c r="X3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<sst xmlns="http://schemas.openxmlformats.org/spreadsheetml/2006/main" count="65" uniqueCount="40">
  <si>
    <r>
      <t>Light Component Composition: z</t>
    </r>
    <r>
      <rPr>
        <b/>
        <vertAlign val="subscript"/>
        <sz val="16"/>
        <color theme="1"/>
        <rFont val="Calibri"/>
        <family val="2"/>
        <scheme val="minor"/>
      </rPr>
      <t>L</t>
    </r>
  </si>
  <si>
    <r>
      <t>Light Component K-value: K</t>
    </r>
    <r>
      <rPr>
        <b/>
        <vertAlign val="subscript"/>
        <sz val="16"/>
        <color theme="1"/>
        <rFont val="Calibri"/>
        <family val="2"/>
        <scheme val="minor"/>
      </rPr>
      <t>L</t>
    </r>
  </si>
  <si>
    <r>
      <t>Heavy Component K-value: K</t>
    </r>
    <r>
      <rPr>
        <b/>
        <vertAlign val="subscript"/>
        <sz val="16"/>
        <color theme="1"/>
        <rFont val="Calibri"/>
        <family val="2"/>
        <scheme val="minor"/>
      </rPr>
      <t>H</t>
    </r>
  </si>
  <si>
    <t>Light</t>
  </si>
  <si>
    <t>Comp.</t>
  </si>
  <si>
    <t>Heavy</t>
  </si>
  <si>
    <t>K-value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</si>
  <si>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>L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</si>
  <si>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H</t>
    </r>
  </si>
  <si>
    <r>
      <t>K</t>
    </r>
    <r>
      <rPr>
        <b/>
        <vertAlign val="subscript"/>
        <sz val="11"/>
        <color theme="1"/>
        <rFont val="Calibri"/>
        <family val="2"/>
        <scheme val="minor"/>
      </rPr>
      <t>L</t>
    </r>
  </si>
  <si>
    <r>
      <t>K</t>
    </r>
    <r>
      <rPr>
        <b/>
        <vertAlign val="subscript"/>
        <sz val="11"/>
        <color theme="1"/>
        <rFont val="Calibri"/>
        <family val="2"/>
        <scheme val="minor"/>
      </rPr>
      <t>H</t>
    </r>
  </si>
  <si>
    <t>Iteration:</t>
  </si>
  <si>
    <t>Method:</t>
  </si>
  <si>
    <t>Initial</t>
  </si>
  <si>
    <t>Guess</t>
  </si>
  <si>
    <t>Type</t>
  </si>
  <si>
    <t>Bound</t>
  </si>
  <si>
    <t>Value</t>
  </si>
  <si>
    <t>Fvmin</t>
  </si>
  <si>
    <t>Fvmax</t>
  </si>
  <si>
    <t>NF</t>
  </si>
  <si>
    <t>Fmin</t>
  </si>
  <si>
    <t>Fmax</t>
  </si>
  <si>
    <t>LN</t>
  </si>
  <si>
    <t>NL</t>
  </si>
  <si>
    <t>midpoint</t>
  </si>
  <si>
    <t>custom</t>
  </si>
  <si>
    <t>Custom Initial guess</t>
  </si>
  <si>
    <t>negative flash</t>
  </si>
  <si>
    <t>Leibovici-Neoschil</t>
  </si>
  <si>
    <t>Nichita-Leibovici</t>
  </si>
  <si>
    <t>convergent</t>
  </si>
  <si>
    <t>RR Value</t>
  </si>
  <si>
    <t>Fv</t>
  </si>
  <si>
    <t>RR Data</t>
  </si>
  <si>
    <t>Bisection Method</t>
  </si>
  <si>
    <t>Unbounded Newton</t>
  </si>
  <si>
    <t>Bounded Newton</t>
  </si>
  <si>
    <t>Abs Residual</t>
  </si>
  <si>
    <t>RR 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</si>
</sst>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vertAlign val="subscript"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/>
    <xf numFmtId="0" fontId="0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NumberFormat="1"/>
    <xf numFmtId="0" fontId="0" fillId="0" borderId="1" xfId="0" applyFont="1" applyBorder="1" applyAlignment="1">
      <alignment horizontal="right"/>
    </xf>
    <xf numFmtId="0" fontId="0" fillId="0" borderId="1" xfId="0" applyBorder="1"/>
    <xf numFmtId="0" fontId="2" fillId="0" borderId="1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0" fillId="0" borderId="3" xfId="0" applyBorder="1"/>
    <xf numFmtId="0" fontId="0" fillId="0" borderId="2" xfId="0" applyBorder="1"/>
    <xf numFmtId="0" fontId="0" fillId="0" borderId="0" xfId="0" applyBorder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0" tint="-0.499984740745262"/>
      </font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RR-Data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'RR-Plot-Data'!$B$4:$B$1001</c:f>
              <c:numCache>
                <c:formatCode>General</c:formatCode>
                <c:ptCount val="998"/>
                <c:pt idx="0">
                  <c:v>-1.0801066743465568E-4</c:v>
                </c:pt>
                <c:pt idx="1">
                  <c:v>1.1594944835626006E-3</c:v>
                </c:pt>
                <c:pt idx="2">
                  <c:v>2.4269996345598569E-3</c:v>
                </c:pt>
                <c:pt idx="3">
                  <c:v>3.6945047855571132E-3</c:v>
                </c:pt>
                <c:pt idx="4">
                  <c:v>4.9620099365543695E-3</c:v>
                </c:pt>
                <c:pt idx="5">
                  <c:v>6.2295150875516254E-3</c:v>
                </c:pt>
                <c:pt idx="6">
                  <c:v>7.4970202385488821E-3</c:v>
                </c:pt>
                <c:pt idx="7">
                  <c:v>8.7645253895461388E-3</c:v>
                </c:pt>
                <c:pt idx="8">
                  <c:v>1.0032030540543396E-2</c:v>
                </c:pt>
                <c:pt idx="9">
                  <c:v>1.1299535691540652E-2</c:v>
                </c:pt>
                <c:pt idx="10">
                  <c:v>1.2567040842537909E-2</c:v>
                </c:pt>
                <c:pt idx="11">
                  <c:v>1.3834545993535166E-2</c:v>
                </c:pt>
                <c:pt idx="12">
                  <c:v>1.5102051144532423E-2</c:v>
                </c:pt>
                <c:pt idx="13">
                  <c:v>1.6369556295529678E-2</c:v>
                </c:pt>
                <c:pt idx="14">
                  <c:v>1.7637061446526933E-2</c:v>
                </c:pt>
                <c:pt idx="15">
                  <c:v>1.8904566597524187E-2</c:v>
                </c:pt>
                <c:pt idx="16">
                  <c:v>2.0172071748521442E-2</c:v>
                </c:pt>
                <c:pt idx="17">
                  <c:v>2.1439576899518697E-2</c:v>
                </c:pt>
                <c:pt idx="18">
                  <c:v>2.2707082050515952E-2</c:v>
                </c:pt>
                <c:pt idx="19">
                  <c:v>2.3974587201513207E-2</c:v>
                </c:pt>
                <c:pt idx="20">
                  <c:v>2.5242092352510462E-2</c:v>
                </c:pt>
                <c:pt idx="21">
                  <c:v>2.6509597503507717E-2</c:v>
                </c:pt>
                <c:pt idx="22">
                  <c:v>2.7777102654504972E-2</c:v>
                </c:pt>
                <c:pt idx="23">
                  <c:v>2.9044607805502227E-2</c:v>
                </c:pt>
                <c:pt idx="24">
                  <c:v>3.0312112956499482E-2</c:v>
                </c:pt>
                <c:pt idx="25">
                  <c:v>3.1579618107496737E-2</c:v>
                </c:pt>
                <c:pt idx="26">
                  <c:v>3.2847123258493996E-2</c:v>
                </c:pt>
                <c:pt idx="27">
                  <c:v>3.4114628409491254E-2</c:v>
                </c:pt>
                <c:pt idx="28">
                  <c:v>3.5382133560488513E-2</c:v>
                </c:pt>
                <c:pt idx="29">
                  <c:v>3.6649638711485771E-2</c:v>
                </c:pt>
                <c:pt idx="30">
                  <c:v>3.791714386248303E-2</c:v>
                </c:pt>
                <c:pt idx="31">
                  <c:v>3.9184649013480288E-2</c:v>
                </c:pt>
                <c:pt idx="32">
                  <c:v>4.0452154164477547E-2</c:v>
                </c:pt>
                <c:pt idx="33">
                  <c:v>4.1719659315474805E-2</c:v>
                </c:pt>
                <c:pt idx="34">
                  <c:v>4.2987164466472064E-2</c:v>
                </c:pt>
                <c:pt idx="35">
                  <c:v>4.4254669617469322E-2</c:v>
                </c:pt>
                <c:pt idx="36">
                  <c:v>4.5522174768466581E-2</c:v>
                </c:pt>
                <c:pt idx="37">
                  <c:v>4.6789679919463839E-2</c:v>
                </c:pt>
                <c:pt idx="38">
                  <c:v>4.8057185070461098E-2</c:v>
                </c:pt>
                <c:pt idx="39">
                  <c:v>4.9324690221458356E-2</c:v>
                </c:pt>
                <c:pt idx="40">
                  <c:v>5.0592195372455614E-2</c:v>
                </c:pt>
                <c:pt idx="41">
                  <c:v>5.1859700523452873E-2</c:v>
                </c:pt>
                <c:pt idx="42">
                  <c:v>5.3127205674450131E-2</c:v>
                </c:pt>
                <c:pt idx="43">
                  <c:v>5.439471082544739E-2</c:v>
                </c:pt>
                <c:pt idx="44">
                  <c:v>5.5662215976444648E-2</c:v>
                </c:pt>
                <c:pt idx="45">
                  <c:v>5.6929721127441907E-2</c:v>
                </c:pt>
                <c:pt idx="46">
                  <c:v>5.8197226278439165E-2</c:v>
                </c:pt>
                <c:pt idx="47">
                  <c:v>5.9464731429436424E-2</c:v>
                </c:pt>
                <c:pt idx="48">
                  <c:v>6.0732236580433682E-2</c:v>
                </c:pt>
                <c:pt idx="49">
                  <c:v>6.1999741731430941E-2</c:v>
                </c:pt>
                <c:pt idx="50">
                  <c:v>6.3267246882428199E-2</c:v>
                </c:pt>
                <c:pt idx="51">
                  <c:v>6.4534752033425458E-2</c:v>
                </c:pt>
                <c:pt idx="52">
                  <c:v>6.5802257184422716E-2</c:v>
                </c:pt>
                <c:pt idx="53">
                  <c:v>6.7069762335419975E-2</c:v>
                </c:pt>
                <c:pt idx="54">
                  <c:v>6.8337267486417233E-2</c:v>
                </c:pt>
                <c:pt idx="55">
                  <c:v>6.9604772637414491E-2</c:v>
                </c:pt>
                <c:pt idx="56">
                  <c:v>7.087227778841175E-2</c:v>
                </c:pt>
                <c:pt idx="57">
                  <c:v>7.2139782939409008E-2</c:v>
                </c:pt>
                <c:pt idx="58">
                  <c:v>7.3407288090406267E-2</c:v>
                </c:pt>
                <c:pt idx="59">
                  <c:v>7.4674793241403525E-2</c:v>
                </c:pt>
                <c:pt idx="60">
                  <c:v>7.5942298392400784E-2</c:v>
                </c:pt>
                <c:pt idx="61">
                  <c:v>7.7209803543398042E-2</c:v>
                </c:pt>
                <c:pt idx="62">
                  <c:v>7.8477308694395301E-2</c:v>
                </c:pt>
                <c:pt idx="63">
                  <c:v>7.9744813845392559E-2</c:v>
                </c:pt>
                <c:pt idx="64">
                  <c:v>8.1012318996389818E-2</c:v>
                </c:pt>
                <c:pt idx="65">
                  <c:v>8.2279824147387076E-2</c:v>
                </c:pt>
                <c:pt idx="66">
                  <c:v>8.3547329298384335E-2</c:v>
                </c:pt>
                <c:pt idx="67">
                  <c:v>8.4814834449381593E-2</c:v>
                </c:pt>
                <c:pt idx="68">
                  <c:v>8.6082339600378852E-2</c:v>
                </c:pt>
                <c:pt idx="69">
                  <c:v>8.734984475137611E-2</c:v>
                </c:pt>
                <c:pt idx="70">
                  <c:v>8.8617349902373369E-2</c:v>
                </c:pt>
                <c:pt idx="71">
                  <c:v>8.9884855053370627E-2</c:v>
                </c:pt>
                <c:pt idx="72">
                  <c:v>9.1152360204367885E-2</c:v>
                </c:pt>
                <c:pt idx="73">
                  <c:v>9.2419865355365144E-2</c:v>
                </c:pt>
                <c:pt idx="74">
                  <c:v>9.3687370506362402E-2</c:v>
                </c:pt>
                <c:pt idx="75">
                  <c:v>9.4954875657359661E-2</c:v>
                </c:pt>
                <c:pt idx="76">
                  <c:v>9.6222380808356919E-2</c:v>
                </c:pt>
                <c:pt idx="77">
                  <c:v>9.7489885959354178E-2</c:v>
                </c:pt>
                <c:pt idx="78">
                  <c:v>9.8757391110351436E-2</c:v>
                </c:pt>
                <c:pt idx="79">
                  <c:v>0.10002489626134869</c:v>
                </c:pt>
                <c:pt idx="80">
                  <c:v>0.10129240141234595</c:v>
                </c:pt>
                <c:pt idx="81">
                  <c:v>0.10255990656334321</c:v>
                </c:pt>
                <c:pt idx="82">
                  <c:v>0.10382741171434047</c:v>
                </c:pt>
                <c:pt idx="83">
                  <c:v>0.10509491686533773</c:v>
                </c:pt>
                <c:pt idx="84">
                  <c:v>0.10636242201633499</c:v>
                </c:pt>
                <c:pt idx="85">
                  <c:v>0.10762992716733225</c:v>
                </c:pt>
                <c:pt idx="86">
                  <c:v>0.1088974323183295</c:v>
                </c:pt>
                <c:pt idx="87">
                  <c:v>0.11016493746932676</c:v>
                </c:pt>
                <c:pt idx="88">
                  <c:v>0.11143244262032402</c:v>
                </c:pt>
                <c:pt idx="89">
                  <c:v>0.11269994777132128</c:v>
                </c:pt>
                <c:pt idx="90">
                  <c:v>0.11396745292231854</c:v>
                </c:pt>
                <c:pt idx="91">
                  <c:v>0.1152349580733158</c:v>
                </c:pt>
                <c:pt idx="92">
                  <c:v>0.11650246322431305</c:v>
                </c:pt>
                <c:pt idx="93">
                  <c:v>0.11776996837531031</c:v>
                </c:pt>
                <c:pt idx="94">
                  <c:v>0.11903747352630757</c:v>
                </c:pt>
                <c:pt idx="95">
                  <c:v>0.12030497867730483</c:v>
                </c:pt>
                <c:pt idx="96">
                  <c:v>0.12157248382830209</c:v>
                </c:pt>
                <c:pt idx="97">
                  <c:v>0.12283998897929935</c:v>
                </c:pt>
                <c:pt idx="98">
                  <c:v>0.12410749413029661</c:v>
                </c:pt>
                <c:pt idx="99">
                  <c:v>0.12537499928129386</c:v>
                </c:pt>
                <c:pt idx="100">
                  <c:v>0.12664250443229111</c:v>
                </c:pt>
                <c:pt idx="101">
                  <c:v>0.12791000958328835</c:v>
                </c:pt>
                <c:pt idx="102">
                  <c:v>0.1291775147342856</c:v>
                </c:pt>
                <c:pt idx="103">
                  <c:v>0.13044501988528284</c:v>
                </c:pt>
                <c:pt idx="104">
                  <c:v>0.13171252503628009</c:v>
                </c:pt>
                <c:pt idx="105">
                  <c:v>0.13298003018727733</c:v>
                </c:pt>
                <c:pt idx="106">
                  <c:v>0.13424753533827458</c:v>
                </c:pt>
                <c:pt idx="107">
                  <c:v>0.13551504048927182</c:v>
                </c:pt>
                <c:pt idx="108">
                  <c:v>0.13678254564026907</c:v>
                </c:pt>
                <c:pt idx="109">
                  <c:v>0.13805005079126631</c:v>
                </c:pt>
                <c:pt idx="110">
                  <c:v>0.13931755594226355</c:v>
                </c:pt>
                <c:pt idx="111">
                  <c:v>0.1405850610932608</c:v>
                </c:pt>
                <c:pt idx="112">
                  <c:v>0.14185256624425804</c:v>
                </c:pt>
                <c:pt idx="113">
                  <c:v>0.14312007139525529</c:v>
                </c:pt>
                <c:pt idx="114">
                  <c:v>0.14438757654625253</c:v>
                </c:pt>
                <c:pt idx="115">
                  <c:v>0.14565508169724978</c:v>
                </c:pt>
                <c:pt idx="116">
                  <c:v>0.14692258684824702</c:v>
                </c:pt>
                <c:pt idx="117">
                  <c:v>0.14819009199924427</c:v>
                </c:pt>
                <c:pt idx="118">
                  <c:v>0.14945759715024151</c:v>
                </c:pt>
                <c:pt idx="119">
                  <c:v>0.15072510230123876</c:v>
                </c:pt>
                <c:pt idx="120">
                  <c:v>0.151992607452236</c:v>
                </c:pt>
                <c:pt idx="121">
                  <c:v>0.15326011260323325</c:v>
                </c:pt>
                <c:pt idx="122">
                  <c:v>0.15452761775423049</c:v>
                </c:pt>
                <c:pt idx="123">
                  <c:v>0.15579512290522773</c:v>
                </c:pt>
                <c:pt idx="124">
                  <c:v>0.15706262805622498</c:v>
                </c:pt>
                <c:pt idx="125">
                  <c:v>0.15833013320722222</c:v>
                </c:pt>
                <c:pt idx="126">
                  <c:v>0.15959763835821947</c:v>
                </c:pt>
                <c:pt idx="127">
                  <c:v>0.16086514350921671</c:v>
                </c:pt>
                <c:pt idx="128">
                  <c:v>0.16213264866021396</c:v>
                </c:pt>
                <c:pt idx="129">
                  <c:v>0.1634001538112112</c:v>
                </c:pt>
                <c:pt idx="130">
                  <c:v>0.16466765896220845</c:v>
                </c:pt>
                <c:pt idx="131">
                  <c:v>0.16593516411320569</c:v>
                </c:pt>
                <c:pt idx="132">
                  <c:v>0.16720266926420294</c:v>
                </c:pt>
                <c:pt idx="133">
                  <c:v>0.16847017441520018</c:v>
                </c:pt>
                <c:pt idx="134">
                  <c:v>0.16973767956619742</c:v>
                </c:pt>
                <c:pt idx="135">
                  <c:v>0.17100518471719467</c:v>
                </c:pt>
                <c:pt idx="136">
                  <c:v>0.17227268986819191</c:v>
                </c:pt>
                <c:pt idx="137">
                  <c:v>0.17354019501918916</c:v>
                </c:pt>
                <c:pt idx="138">
                  <c:v>0.1748077001701864</c:v>
                </c:pt>
                <c:pt idx="139">
                  <c:v>0.17607520532118365</c:v>
                </c:pt>
                <c:pt idx="140">
                  <c:v>0.17734271047218089</c:v>
                </c:pt>
                <c:pt idx="141">
                  <c:v>0.17861021562317814</c:v>
                </c:pt>
                <c:pt idx="142">
                  <c:v>0.17987772077417538</c:v>
                </c:pt>
                <c:pt idx="143">
                  <c:v>0.18114522592517263</c:v>
                </c:pt>
                <c:pt idx="144">
                  <c:v>0.18241273107616987</c:v>
                </c:pt>
                <c:pt idx="145">
                  <c:v>0.18368023622716712</c:v>
                </c:pt>
                <c:pt idx="146">
                  <c:v>0.18494774137816436</c:v>
                </c:pt>
                <c:pt idx="147">
                  <c:v>0.1862152465291616</c:v>
                </c:pt>
                <c:pt idx="148">
                  <c:v>0.18748275168015885</c:v>
                </c:pt>
                <c:pt idx="149">
                  <c:v>0.18875025683115609</c:v>
                </c:pt>
                <c:pt idx="150">
                  <c:v>0.19001776198215334</c:v>
                </c:pt>
                <c:pt idx="151">
                  <c:v>0.19128526713315058</c:v>
                </c:pt>
                <c:pt idx="152">
                  <c:v>0.19255277228414783</c:v>
                </c:pt>
                <c:pt idx="153">
                  <c:v>0.19382027743514507</c:v>
                </c:pt>
                <c:pt idx="154">
                  <c:v>0.19508778258614232</c:v>
                </c:pt>
                <c:pt idx="155">
                  <c:v>0.19635528773713956</c:v>
                </c:pt>
                <c:pt idx="156">
                  <c:v>0.19762279288813681</c:v>
                </c:pt>
                <c:pt idx="157">
                  <c:v>0.19889029803913405</c:v>
                </c:pt>
                <c:pt idx="158">
                  <c:v>0.20015780319013129</c:v>
                </c:pt>
                <c:pt idx="159">
                  <c:v>0.20142530834112854</c:v>
                </c:pt>
                <c:pt idx="160">
                  <c:v>0.20269281349212578</c:v>
                </c:pt>
                <c:pt idx="161">
                  <c:v>0.20396031864312303</c:v>
                </c:pt>
                <c:pt idx="162">
                  <c:v>0.20522782379412027</c:v>
                </c:pt>
                <c:pt idx="163">
                  <c:v>0.20649532894511752</c:v>
                </c:pt>
                <c:pt idx="164">
                  <c:v>0.20776283409611476</c:v>
                </c:pt>
                <c:pt idx="165">
                  <c:v>0.20903033924711201</c:v>
                </c:pt>
                <c:pt idx="166">
                  <c:v>0.21029784439810925</c:v>
                </c:pt>
                <c:pt idx="167">
                  <c:v>0.2115653495491065</c:v>
                </c:pt>
                <c:pt idx="168">
                  <c:v>0.21283285470010374</c:v>
                </c:pt>
                <c:pt idx="169">
                  <c:v>0.21410035985110099</c:v>
                </c:pt>
                <c:pt idx="170">
                  <c:v>0.21536786500209823</c:v>
                </c:pt>
                <c:pt idx="171">
                  <c:v>0.21663537015309547</c:v>
                </c:pt>
                <c:pt idx="172">
                  <c:v>0.21790287530409272</c:v>
                </c:pt>
                <c:pt idx="173">
                  <c:v>0.21917038045508996</c:v>
                </c:pt>
                <c:pt idx="174">
                  <c:v>0.22043788560608721</c:v>
                </c:pt>
                <c:pt idx="175">
                  <c:v>0.22170539075708445</c:v>
                </c:pt>
                <c:pt idx="176">
                  <c:v>0.2229728959080817</c:v>
                </c:pt>
                <c:pt idx="177">
                  <c:v>0.22424040105907894</c:v>
                </c:pt>
                <c:pt idx="178">
                  <c:v>0.22550790621007619</c:v>
                </c:pt>
                <c:pt idx="179">
                  <c:v>0.22677541136107343</c:v>
                </c:pt>
                <c:pt idx="180">
                  <c:v>0.22804291651207068</c:v>
                </c:pt>
                <c:pt idx="181">
                  <c:v>0.22931042166306792</c:v>
                </c:pt>
                <c:pt idx="182">
                  <c:v>0.23057792681406516</c:v>
                </c:pt>
                <c:pt idx="183">
                  <c:v>0.23184543196506241</c:v>
                </c:pt>
                <c:pt idx="184">
                  <c:v>0.23311293711605965</c:v>
                </c:pt>
                <c:pt idx="185">
                  <c:v>0.2343804422670569</c:v>
                </c:pt>
                <c:pt idx="186">
                  <c:v>0.23564794741805414</c:v>
                </c:pt>
                <c:pt idx="187">
                  <c:v>0.23691545256905139</c:v>
                </c:pt>
                <c:pt idx="188">
                  <c:v>0.23818295772004863</c:v>
                </c:pt>
                <c:pt idx="189">
                  <c:v>0.23945046287104588</c:v>
                </c:pt>
                <c:pt idx="190">
                  <c:v>0.24071796802204312</c:v>
                </c:pt>
                <c:pt idx="191">
                  <c:v>0.24198547317304037</c:v>
                </c:pt>
                <c:pt idx="192">
                  <c:v>0.24325297832403761</c:v>
                </c:pt>
                <c:pt idx="193">
                  <c:v>0.24452048347503486</c:v>
                </c:pt>
                <c:pt idx="194">
                  <c:v>0.2457879886260321</c:v>
                </c:pt>
                <c:pt idx="195">
                  <c:v>0.24705549377702934</c:v>
                </c:pt>
                <c:pt idx="196">
                  <c:v>0.24832299892802659</c:v>
                </c:pt>
                <c:pt idx="197">
                  <c:v>0.24959050407902383</c:v>
                </c:pt>
                <c:pt idx="198">
                  <c:v>0.25085800923002111</c:v>
                </c:pt>
                <c:pt idx="199">
                  <c:v>0.25212551438101838</c:v>
                </c:pt>
                <c:pt idx="200">
                  <c:v>0.25339301953201565</c:v>
                </c:pt>
                <c:pt idx="201">
                  <c:v>0.25466052468301292</c:v>
                </c:pt>
                <c:pt idx="202">
                  <c:v>0.2559280298340102</c:v>
                </c:pt>
                <c:pt idx="203">
                  <c:v>0.25719553498500747</c:v>
                </c:pt>
                <c:pt idx="204">
                  <c:v>0.25846304013600474</c:v>
                </c:pt>
                <c:pt idx="205">
                  <c:v>0.25973054528700201</c:v>
                </c:pt>
                <c:pt idx="206">
                  <c:v>0.26099805043799928</c:v>
                </c:pt>
                <c:pt idx="207">
                  <c:v>0.26226555558899656</c:v>
                </c:pt>
                <c:pt idx="208">
                  <c:v>0.26353306073999383</c:v>
                </c:pt>
                <c:pt idx="209">
                  <c:v>0.2648005658909911</c:v>
                </c:pt>
                <c:pt idx="210">
                  <c:v>0.26606807104198837</c:v>
                </c:pt>
                <c:pt idx="211">
                  <c:v>0.26733557619298565</c:v>
                </c:pt>
                <c:pt idx="212">
                  <c:v>0.26860308134398292</c:v>
                </c:pt>
                <c:pt idx="213">
                  <c:v>0.26987058649498019</c:v>
                </c:pt>
                <c:pt idx="214">
                  <c:v>0.27113809164597746</c:v>
                </c:pt>
                <c:pt idx="215">
                  <c:v>0.27240559679697474</c:v>
                </c:pt>
                <c:pt idx="216">
                  <c:v>0.27367310194797201</c:v>
                </c:pt>
                <c:pt idx="217">
                  <c:v>0.27494060709896928</c:v>
                </c:pt>
                <c:pt idx="218">
                  <c:v>0.27620811224996655</c:v>
                </c:pt>
                <c:pt idx="219">
                  <c:v>0.27747561740096383</c:v>
                </c:pt>
                <c:pt idx="220">
                  <c:v>0.2787431225519611</c:v>
                </c:pt>
                <c:pt idx="221">
                  <c:v>0.28001062770295837</c:v>
                </c:pt>
                <c:pt idx="222">
                  <c:v>0.28127813285395564</c:v>
                </c:pt>
                <c:pt idx="223">
                  <c:v>0.28254563800495291</c:v>
                </c:pt>
                <c:pt idx="224">
                  <c:v>0.28381314315595019</c:v>
                </c:pt>
                <c:pt idx="225">
                  <c:v>0.28508064830694746</c:v>
                </c:pt>
                <c:pt idx="226">
                  <c:v>0.28634815345794473</c:v>
                </c:pt>
                <c:pt idx="227">
                  <c:v>0.287615658608942</c:v>
                </c:pt>
                <c:pt idx="228">
                  <c:v>0.28888316375993928</c:v>
                </c:pt>
                <c:pt idx="229">
                  <c:v>0.29015066891093655</c:v>
                </c:pt>
                <c:pt idx="230">
                  <c:v>0.29141817406193382</c:v>
                </c:pt>
                <c:pt idx="231">
                  <c:v>0.29268567921293109</c:v>
                </c:pt>
                <c:pt idx="232">
                  <c:v>0.29395318436392837</c:v>
                </c:pt>
                <c:pt idx="233">
                  <c:v>0.29522068951492564</c:v>
                </c:pt>
                <c:pt idx="234">
                  <c:v>0.29648819466592291</c:v>
                </c:pt>
                <c:pt idx="235">
                  <c:v>0.29775569981692018</c:v>
                </c:pt>
                <c:pt idx="236">
                  <c:v>0.29902320496791746</c:v>
                </c:pt>
                <c:pt idx="237">
                  <c:v>0.30029071011891473</c:v>
                </c:pt>
                <c:pt idx="238">
                  <c:v>0.301558215269912</c:v>
                </c:pt>
                <c:pt idx="239">
                  <c:v>0.30282572042090927</c:v>
                </c:pt>
                <c:pt idx="240">
                  <c:v>0.30409322557190654</c:v>
                </c:pt>
                <c:pt idx="241">
                  <c:v>0.30536073072290382</c:v>
                </c:pt>
                <c:pt idx="242">
                  <c:v>0.30662823587390109</c:v>
                </c:pt>
                <c:pt idx="243">
                  <c:v>0.30789574102489836</c:v>
                </c:pt>
                <c:pt idx="244">
                  <c:v>0.30916324617589563</c:v>
                </c:pt>
                <c:pt idx="245">
                  <c:v>0.31043075132689291</c:v>
                </c:pt>
                <c:pt idx="246">
                  <c:v>0.31169825647789018</c:v>
                </c:pt>
                <c:pt idx="247">
                  <c:v>0.31296576162888745</c:v>
                </c:pt>
                <c:pt idx="248">
                  <c:v>0.31423326677988472</c:v>
                </c:pt>
                <c:pt idx="249">
                  <c:v>0.315500771930882</c:v>
                </c:pt>
                <c:pt idx="250">
                  <c:v>0.31676827708187927</c:v>
                </c:pt>
                <c:pt idx="251">
                  <c:v>0.31803578223287654</c:v>
                </c:pt>
                <c:pt idx="252">
                  <c:v>0.31930328738387381</c:v>
                </c:pt>
                <c:pt idx="253">
                  <c:v>0.32057079253487109</c:v>
                </c:pt>
                <c:pt idx="254">
                  <c:v>0.32183829768586836</c:v>
                </c:pt>
                <c:pt idx="255">
                  <c:v>0.32310580283686563</c:v>
                </c:pt>
                <c:pt idx="256">
                  <c:v>0.3243733079878629</c:v>
                </c:pt>
                <c:pt idx="257">
                  <c:v>0.32564081313886017</c:v>
                </c:pt>
                <c:pt idx="258">
                  <c:v>0.32690831828985745</c:v>
                </c:pt>
                <c:pt idx="259">
                  <c:v>0.32817582344085472</c:v>
                </c:pt>
                <c:pt idx="260">
                  <c:v>0.32944332859185199</c:v>
                </c:pt>
                <c:pt idx="261">
                  <c:v>0.33071083374284926</c:v>
                </c:pt>
                <c:pt idx="262">
                  <c:v>0.33197833889384654</c:v>
                </c:pt>
                <c:pt idx="263">
                  <c:v>0.33324584404484381</c:v>
                </c:pt>
                <c:pt idx="264">
                  <c:v>0.33451334919584108</c:v>
                </c:pt>
                <c:pt idx="265">
                  <c:v>0.33578085434683835</c:v>
                </c:pt>
                <c:pt idx="266">
                  <c:v>0.33704835949783563</c:v>
                </c:pt>
                <c:pt idx="267">
                  <c:v>0.3383158646488329</c:v>
                </c:pt>
                <c:pt idx="268">
                  <c:v>0.33958336979983017</c:v>
                </c:pt>
                <c:pt idx="269">
                  <c:v>0.34085087495082744</c:v>
                </c:pt>
                <c:pt idx="270">
                  <c:v>0.34211838010182472</c:v>
                </c:pt>
                <c:pt idx="271">
                  <c:v>0.34338588525282199</c:v>
                </c:pt>
                <c:pt idx="272">
                  <c:v>0.34465339040381926</c:v>
                </c:pt>
                <c:pt idx="273">
                  <c:v>0.34592089555481653</c:v>
                </c:pt>
                <c:pt idx="274">
                  <c:v>0.3471884007058138</c:v>
                </c:pt>
                <c:pt idx="275">
                  <c:v>0.34845590585681108</c:v>
                </c:pt>
                <c:pt idx="276">
                  <c:v>0.34972341100780835</c:v>
                </c:pt>
                <c:pt idx="277">
                  <c:v>0.35099091615880562</c:v>
                </c:pt>
                <c:pt idx="278">
                  <c:v>0.35225842130980289</c:v>
                </c:pt>
                <c:pt idx="279">
                  <c:v>0.35352592646080017</c:v>
                </c:pt>
                <c:pt idx="280">
                  <c:v>0.35479343161179744</c:v>
                </c:pt>
                <c:pt idx="281">
                  <c:v>0.35606093676279471</c:v>
                </c:pt>
                <c:pt idx="282">
                  <c:v>0.35732844191379198</c:v>
                </c:pt>
                <c:pt idx="283">
                  <c:v>0.35859594706478926</c:v>
                </c:pt>
                <c:pt idx="284">
                  <c:v>0.35986345221578653</c:v>
                </c:pt>
                <c:pt idx="285">
                  <c:v>0.3611309573667838</c:v>
                </c:pt>
                <c:pt idx="286">
                  <c:v>0.36239846251778107</c:v>
                </c:pt>
                <c:pt idx="287">
                  <c:v>0.36366596766877834</c:v>
                </c:pt>
                <c:pt idx="288">
                  <c:v>0.36493347281977562</c:v>
                </c:pt>
                <c:pt idx="289">
                  <c:v>0.36620097797077289</c:v>
                </c:pt>
                <c:pt idx="290">
                  <c:v>0.36746848312177016</c:v>
                </c:pt>
                <c:pt idx="291">
                  <c:v>0.36873598827276743</c:v>
                </c:pt>
                <c:pt idx="292">
                  <c:v>0.37000349342376471</c:v>
                </c:pt>
                <c:pt idx="293">
                  <c:v>0.37127099857476198</c:v>
                </c:pt>
                <c:pt idx="294">
                  <c:v>0.37253850372575925</c:v>
                </c:pt>
                <c:pt idx="295">
                  <c:v>0.37380600887675652</c:v>
                </c:pt>
                <c:pt idx="296">
                  <c:v>0.3750735140277538</c:v>
                </c:pt>
                <c:pt idx="297">
                  <c:v>0.37634101917875107</c:v>
                </c:pt>
                <c:pt idx="298">
                  <c:v>0.37760852432974834</c:v>
                </c:pt>
                <c:pt idx="299">
                  <c:v>0.37887602948074561</c:v>
                </c:pt>
                <c:pt idx="300">
                  <c:v>0.38014353463174289</c:v>
                </c:pt>
                <c:pt idx="301">
                  <c:v>0.38141103978274016</c:v>
                </c:pt>
                <c:pt idx="302">
                  <c:v>0.38267854493373743</c:v>
                </c:pt>
                <c:pt idx="303">
                  <c:v>0.3839460500847347</c:v>
                </c:pt>
                <c:pt idx="304">
                  <c:v>0.38521355523573197</c:v>
                </c:pt>
                <c:pt idx="305">
                  <c:v>0.38648106038672925</c:v>
                </c:pt>
                <c:pt idx="306">
                  <c:v>0.38774856553772652</c:v>
                </c:pt>
                <c:pt idx="307">
                  <c:v>0.38901607068872379</c:v>
                </c:pt>
                <c:pt idx="308">
                  <c:v>0.39028357583972106</c:v>
                </c:pt>
                <c:pt idx="309">
                  <c:v>0.39155108099071834</c:v>
                </c:pt>
                <c:pt idx="310">
                  <c:v>0.39281858614171561</c:v>
                </c:pt>
                <c:pt idx="311">
                  <c:v>0.39408609129271288</c:v>
                </c:pt>
                <c:pt idx="312">
                  <c:v>0.39535359644371015</c:v>
                </c:pt>
                <c:pt idx="313">
                  <c:v>0.39662110159470743</c:v>
                </c:pt>
                <c:pt idx="314">
                  <c:v>0.3978886067457047</c:v>
                </c:pt>
                <c:pt idx="315">
                  <c:v>0.39915611189670197</c:v>
                </c:pt>
                <c:pt idx="316">
                  <c:v>0.40042361704769924</c:v>
                </c:pt>
                <c:pt idx="317">
                  <c:v>0.40169112219869652</c:v>
                </c:pt>
                <c:pt idx="318">
                  <c:v>0.40295862734969379</c:v>
                </c:pt>
                <c:pt idx="319">
                  <c:v>0.40422613250069106</c:v>
                </c:pt>
                <c:pt idx="320">
                  <c:v>0.40549363765168833</c:v>
                </c:pt>
                <c:pt idx="321">
                  <c:v>0.4067611428026856</c:v>
                </c:pt>
                <c:pt idx="322">
                  <c:v>0.40802864795368288</c:v>
                </c:pt>
                <c:pt idx="323">
                  <c:v>0.40929615310468015</c:v>
                </c:pt>
                <c:pt idx="324">
                  <c:v>0.41056365825567742</c:v>
                </c:pt>
                <c:pt idx="325">
                  <c:v>0.41183116340667469</c:v>
                </c:pt>
                <c:pt idx="326">
                  <c:v>0.41309866855767197</c:v>
                </c:pt>
                <c:pt idx="327">
                  <c:v>0.41436617370866924</c:v>
                </c:pt>
                <c:pt idx="328">
                  <c:v>0.41563367885966651</c:v>
                </c:pt>
                <c:pt idx="329">
                  <c:v>0.41690118401066378</c:v>
                </c:pt>
                <c:pt idx="330">
                  <c:v>0.41816868916166106</c:v>
                </c:pt>
                <c:pt idx="331">
                  <c:v>0.41943619431265833</c:v>
                </c:pt>
                <c:pt idx="332">
                  <c:v>0.4207036994636556</c:v>
                </c:pt>
                <c:pt idx="333">
                  <c:v>0.42197120461465287</c:v>
                </c:pt>
                <c:pt idx="334">
                  <c:v>0.42323870976565015</c:v>
                </c:pt>
                <c:pt idx="335">
                  <c:v>0.42450621491664742</c:v>
                </c:pt>
                <c:pt idx="336">
                  <c:v>0.42577372006764469</c:v>
                </c:pt>
                <c:pt idx="337">
                  <c:v>0.42704122521864196</c:v>
                </c:pt>
                <c:pt idx="338">
                  <c:v>0.42830873036963923</c:v>
                </c:pt>
                <c:pt idx="339">
                  <c:v>0.42957623552063651</c:v>
                </c:pt>
                <c:pt idx="340">
                  <c:v>0.43084374067163378</c:v>
                </c:pt>
                <c:pt idx="341">
                  <c:v>0.43211124582263105</c:v>
                </c:pt>
                <c:pt idx="342">
                  <c:v>0.43337875097362832</c:v>
                </c:pt>
                <c:pt idx="343">
                  <c:v>0.4346462561246256</c:v>
                </c:pt>
                <c:pt idx="344">
                  <c:v>0.43591376127562287</c:v>
                </c:pt>
                <c:pt idx="345">
                  <c:v>0.43718126642662014</c:v>
                </c:pt>
                <c:pt idx="346">
                  <c:v>0.43844877157761741</c:v>
                </c:pt>
                <c:pt idx="347">
                  <c:v>0.43971627672861469</c:v>
                </c:pt>
                <c:pt idx="348">
                  <c:v>0.44098378187961196</c:v>
                </c:pt>
                <c:pt idx="349">
                  <c:v>0.44225128703060923</c:v>
                </c:pt>
                <c:pt idx="350">
                  <c:v>0.4435187921816065</c:v>
                </c:pt>
                <c:pt idx="351">
                  <c:v>0.44478629733260377</c:v>
                </c:pt>
                <c:pt idx="352">
                  <c:v>0.44605380248360105</c:v>
                </c:pt>
                <c:pt idx="353">
                  <c:v>0.44732130763459832</c:v>
                </c:pt>
                <c:pt idx="354">
                  <c:v>0.44858881278559559</c:v>
                </c:pt>
                <c:pt idx="355">
                  <c:v>0.44985631793659286</c:v>
                </c:pt>
                <c:pt idx="356">
                  <c:v>0.45112382308759014</c:v>
                </c:pt>
                <c:pt idx="357">
                  <c:v>0.45239132823858741</c:v>
                </c:pt>
                <c:pt idx="358">
                  <c:v>0.45365883338958468</c:v>
                </c:pt>
                <c:pt idx="359">
                  <c:v>0.45492633854058195</c:v>
                </c:pt>
                <c:pt idx="360">
                  <c:v>0.45619384369157923</c:v>
                </c:pt>
                <c:pt idx="361">
                  <c:v>0.4574613488425765</c:v>
                </c:pt>
                <c:pt idx="362">
                  <c:v>0.45872885399357377</c:v>
                </c:pt>
                <c:pt idx="363">
                  <c:v>0.45999635914457104</c:v>
                </c:pt>
                <c:pt idx="364">
                  <c:v>0.46126386429556832</c:v>
                </c:pt>
                <c:pt idx="365">
                  <c:v>0.46253136944656559</c:v>
                </c:pt>
                <c:pt idx="366">
                  <c:v>0.46379887459756286</c:v>
                </c:pt>
                <c:pt idx="367">
                  <c:v>0.46506637974856013</c:v>
                </c:pt>
                <c:pt idx="368">
                  <c:v>0.4663338848995574</c:v>
                </c:pt>
                <c:pt idx="369">
                  <c:v>0.46760139005055468</c:v>
                </c:pt>
                <c:pt idx="370">
                  <c:v>0.46886889520155195</c:v>
                </c:pt>
                <c:pt idx="371">
                  <c:v>0.47013640035254922</c:v>
                </c:pt>
                <c:pt idx="372">
                  <c:v>0.47140390550354649</c:v>
                </c:pt>
                <c:pt idx="373">
                  <c:v>0.47267141065454377</c:v>
                </c:pt>
                <c:pt idx="374">
                  <c:v>0.47393891580554104</c:v>
                </c:pt>
                <c:pt idx="375">
                  <c:v>0.47520642095653831</c:v>
                </c:pt>
                <c:pt idx="376">
                  <c:v>0.47647392610753558</c:v>
                </c:pt>
                <c:pt idx="377">
                  <c:v>0.47774143125853286</c:v>
                </c:pt>
                <c:pt idx="378">
                  <c:v>0.47900893640953013</c:v>
                </c:pt>
                <c:pt idx="379">
                  <c:v>0.4802764415605274</c:v>
                </c:pt>
                <c:pt idx="380">
                  <c:v>0.48154394671152467</c:v>
                </c:pt>
                <c:pt idx="381">
                  <c:v>0.48281145186252195</c:v>
                </c:pt>
                <c:pt idx="382">
                  <c:v>0.48407895701351922</c:v>
                </c:pt>
                <c:pt idx="383">
                  <c:v>0.48534646216451649</c:v>
                </c:pt>
                <c:pt idx="384">
                  <c:v>0.48661396731551376</c:v>
                </c:pt>
                <c:pt idx="385">
                  <c:v>0.48788147246651103</c:v>
                </c:pt>
                <c:pt idx="386">
                  <c:v>0.48914897761750831</c:v>
                </c:pt>
                <c:pt idx="387">
                  <c:v>0.49041648276850558</c:v>
                </c:pt>
                <c:pt idx="388">
                  <c:v>0.49168398791950285</c:v>
                </c:pt>
                <c:pt idx="389">
                  <c:v>0.49295149307050012</c:v>
                </c:pt>
                <c:pt idx="390">
                  <c:v>0.4942189982214974</c:v>
                </c:pt>
                <c:pt idx="391">
                  <c:v>0.49548650337249467</c:v>
                </c:pt>
                <c:pt idx="392">
                  <c:v>0.49675400852349194</c:v>
                </c:pt>
                <c:pt idx="393">
                  <c:v>0.49802151367448921</c:v>
                </c:pt>
                <c:pt idx="394">
                  <c:v>0.49928901882548649</c:v>
                </c:pt>
                <c:pt idx="395">
                  <c:v>0.50055652397648376</c:v>
                </c:pt>
                <c:pt idx="396">
                  <c:v>0.50182402912748103</c:v>
                </c:pt>
                <c:pt idx="397">
                  <c:v>0.5030915342784783</c:v>
                </c:pt>
                <c:pt idx="398">
                  <c:v>0.50435903942947558</c:v>
                </c:pt>
                <c:pt idx="399">
                  <c:v>0.50562654458047285</c:v>
                </c:pt>
                <c:pt idx="400">
                  <c:v>0.50689404973147012</c:v>
                </c:pt>
                <c:pt idx="401">
                  <c:v>0.50816155488246739</c:v>
                </c:pt>
                <c:pt idx="402">
                  <c:v>0.50942906003346466</c:v>
                </c:pt>
                <c:pt idx="403">
                  <c:v>0.51069656518446194</c:v>
                </c:pt>
                <c:pt idx="404">
                  <c:v>0.51196407033545921</c:v>
                </c:pt>
                <c:pt idx="405">
                  <c:v>0.51323157548645648</c:v>
                </c:pt>
                <c:pt idx="406">
                  <c:v>0.51449908063745375</c:v>
                </c:pt>
                <c:pt idx="407">
                  <c:v>0.51576658578845103</c:v>
                </c:pt>
                <c:pt idx="408">
                  <c:v>0.5170340909394483</c:v>
                </c:pt>
                <c:pt idx="409">
                  <c:v>0.51830159609044557</c:v>
                </c:pt>
                <c:pt idx="410">
                  <c:v>0.51956910124144284</c:v>
                </c:pt>
                <c:pt idx="411">
                  <c:v>0.52083660639244012</c:v>
                </c:pt>
                <c:pt idx="412">
                  <c:v>0.52210411154343739</c:v>
                </c:pt>
                <c:pt idx="413">
                  <c:v>0.52337161669443466</c:v>
                </c:pt>
                <c:pt idx="414">
                  <c:v>0.52463912184543193</c:v>
                </c:pt>
                <c:pt idx="415">
                  <c:v>0.52590662699642921</c:v>
                </c:pt>
                <c:pt idx="416">
                  <c:v>0.52717413214742648</c:v>
                </c:pt>
                <c:pt idx="417">
                  <c:v>0.52844163729842375</c:v>
                </c:pt>
                <c:pt idx="418">
                  <c:v>0.52970914244942102</c:v>
                </c:pt>
                <c:pt idx="419">
                  <c:v>0.53097664760041829</c:v>
                </c:pt>
                <c:pt idx="420">
                  <c:v>0.53224415275141557</c:v>
                </c:pt>
                <c:pt idx="421">
                  <c:v>0.53351165790241284</c:v>
                </c:pt>
                <c:pt idx="422">
                  <c:v>0.53477916305341011</c:v>
                </c:pt>
                <c:pt idx="423">
                  <c:v>0.53604666820440738</c:v>
                </c:pt>
                <c:pt idx="424">
                  <c:v>0.53731417335540466</c:v>
                </c:pt>
                <c:pt idx="425">
                  <c:v>0.53858167850640193</c:v>
                </c:pt>
                <c:pt idx="426">
                  <c:v>0.5398491836573992</c:v>
                </c:pt>
                <c:pt idx="427">
                  <c:v>0.54111668880839647</c:v>
                </c:pt>
                <c:pt idx="428">
                  <c:v>0.54238419395939375</c:v>
                </c:pt>
                <c:pt idx="429">
                  <c:v>0.54365169911039102</c:v>
                </c:pt>
                <c:pt idx="430">
                  <c:v>0.54491920426138829</c:v>
                </c:pt>
                <c:pt idx="431">
                  <c:v>0.54618670941238556</c:v>
                </c:pt>
                <c:pt idx="432">
                  <c:v>0.54745421456338283</c:v>
                </c:pt>
                <c:pt idx="433">
                  <c:v>0.54872171971438011</c:v>
                </c:pt>
                <c:pt idx="434">
                  <c:v>0.54998922486537738</c:v>
                </c:pt>
                <c:pt idx="435">
                  <c:v>0.55125673001637465</c:v>
                </c:pt>
                <c:pt idx="436">
                  <c:v>0.55252423516737192</c:v>
                </c:pt>
                <c:pt idx="437">
                  <c:v>0.5537917403183692</c:v>
                </c:pt>
                <c:pt idx="438">
                  <c:v>0.55505924546936647</c:v>
                </c:pt>
                <c:pt idx="439">
                  <c:v>0.55632675062036374</c:v>
                </c:pt>
                <c:pt idx="440">
                  <c:v>0.55759425577136101</c:v>
                </c:pt>
                <c:pt idx="441">
                  <c:v>0.55886176092235829</c:v>
                </c:pt>
                <c:pt idx="442">
                  <c:v>0.56012926607335556</c:v>
                </c:pt>
                <c:pt idx="443">
                  <c:v>0.56139677122435283</c:v>
                </c:pt>
                <c:pt idx="444">
                  <c:v>0.5626642763753501</c:v>
                </c:pt>
                <c:pt idx="445">
                  <c:v>0.56393178152634738</c:v>
                </c:pt>
                <c:pt idx="446">
                  <c:v>0.56519928667734465</c:v>
                </c:pt>
                <c:pt idx="447">
                  <c:v>0.56646679182834192</c:v>
                </c:pt>
                <c:pt idx="448">
                  <c:v>0.56773429697933919</c:v>
                </c:pt>
                <c:pt idx="449">
                  <c:v>0.56900180213033646</c:v>
                </c:pt>
                <c:pt idx="450">
                  <c:v>0.57026930728133374</c:v>
                </c:pt>
                <c:pt idx="451">
                  <c:v>0.57153681243233101</c:v>
                </c:pt>
                <c:pt idx="452">
                  <c:v>0.57280431758332828</c:v>
                </c:pt>
                <c:pt idx="453">
                  <c:v>0.57407182273432555</c:v>
                </c:pt>
                <c:pt idx="454">
                  <c:v>0.57533932788532283</c:v>
                </c:pt>
                <c:pt idx="455">
                  <c:v>0.5766068330363201</c:v>
                </c:pt>
                <c:pt idx="456">
                  <c:v>0.57787433818731737</c:v>
                </c:pt>
                <c:pt idx="457">
                  <c:v>0.57914184333831464</c:v>
                </c:pt>
                <c:pt idx="458">
                  <c:v>0.58040934848931192</c:v>
                </c:pt>
                <c:pt idx="459">
                  <c:v>0.58167685364030919</c:v>
                </c:pt>
                <c:pt idx="460">
                  <c:v>0.58294435879130646</c:v>
                </c:pt>
                <c:pt idx="461">
                  <c:v>0.58421186394230373</c:v>
                </c:pt>
                <c:pt idx="462">
                  <c:v>0.58547936909330101</c:v>
                </c:pt>
                <c:pt idx="463">
                  <c:v>0.58674687424429828</c:v>
                </c:pt>
                <c:pt idx="464">
                  <c:v>0.58801437939529555</c:v>
                </c:pt>
                <c:pt idx="465">
                  <c:v>0.58928188454629282</c:v>
                </c:pt>
                <c:pt idx="466">
                  <c:v>0.59054938969729009</c:v>
                </c:pt>
                <c:pt idx="467">
                  <c:v>0.59181689484828737</c:v>
                </c:pt>
                <c:pt idx="468">
                  <c:v>0.59308439999928464</c:v>
                </c:pt>
                <c:pt idx="469">
                  <c:v>0.59435190515028191</c:v>
                </c:pt>
                <c:pt idx="470">
                  <c:v>0.59561941030127918</c:v>
                </c:pt>
                <c:pt idx="471">
                  <c:v>0.59688691545227646</c:v>
                </c:pt>
                <c:pt idx="472">
                  <c:v>0.59815442060327373</c:v>
                </c:pt>
                <c:pt idx="473">
                  <c:v>0.599421925754271</c:v>
                </c:pt>
                <c:pt idx="474">
                  <c:v>0.60068943090526827</c:v>
                </c:pt>
                <c:pt idx="475">
                  <c:v>0.60195693605626555</c:v>
                </c:pt>
                <c:pt idx="476">
                  <c:v>0.60322444120726282</c:v>
                </c:pt>
                <c:pt idx="477">
                  <c:v>0.60449194635826009</c:v>
                </c:pt>
                <c:pt idx="478">
                  <c:v>0.60575945150925736</c:v>
                </c:pt>
                <c:pt idx="479">
                  <c:v>0.60702695666025464</c:v>
                </c:pt>
                <c:pt idx="480">
                  <c:v>0.60829446181125191</c:v>
                </c:pt>
                <c:pt idx="481">
                  <c:v>0.60956196696224918</c:v>
                </c:pt>
                <c:pt idx="482">
                  <c:v>0.61082947211324645</c:v>
                </c:pt>
                <c:pt idx="483">
                  <c:v>0.61209697726424372</c:v>
                </c:pt>
                <c:pt idx="484">
                  <c:v>0.613364482415241</c:v>
                </c:pt>
                <c:pt idx="485">
                  <c:v>0.61463198756623827</c:v>
                </c:pt>
                <c:pt idx="486">
                  <c:v>0.61589949271723554</c:v>
                </c:pt>
                <c:pt idx="487">
                  <c:v>0.61716699786823281</c:v>
                </c:pt>
                <c:pt idx="488">
                  <c:v>0.61843450301923009</c:v>
                </c:pt>
                <c:pt idx="489">
                  <c:v>0.61970200817022736</c:v>
                </c:pt>
                <c:pt idx="490">
                  <c:v>0.62096951332122463</c:v>
                </c:pt>
                <c:pt idx="491">
                  <c:v>0.6222370184722219</c:v>
                </c:pt>
                <c:pt idx="492">
                  <c:v>0.62350452362321918</c:v>
                </c:pt>
                <c:pt idx="493">
                  <c:v>0.62477202877421645</c:v>
                </c:pt>
                <c:pt idx="494">
                  <c:v>0.62603953392521372</c:v>
                </c:pt>
                <c:pt idx="495">
                  <c:v>0.62730703907621099</c:v>
                </c:pt>
                <c:pt idx="496">
                  <c:v>0.62857454422720827</c:v>
                </c:pt>
                <c:pt idx="497">
                  <c:v>0.62984204937820554</c:v>
                </c:pt>
                <c:pt idx="498">
                  <c:v>0.63110955452920281</c:v>
                </c:pt>
                <c:pt idx="499">
                  <c:v>0.63237705968020008</c:v>
                </c:pt>
                <c:pt idx="500">
                  <c:v>0.63364456483119735</c:v>
                </c:pt>
                <c:pt idx="501">
                  <c:v>0.63491206998219463</c:v>
                </c:pt>
                <c:pt idx="502">
                  <c:v>0.6361795751331919</c:v>
                </c:pt>
                <c:pt idx="503">
                  <c:v>0.63744708028418917</c:v>
                </c:pt>
                <c:pt idx="504">
                  <c:v>0.63871458543518644</c:v>
                </c:pt>
                <c:pt idx="505">
                  <c:v>0.63998209058618372</c:v>
                </c:pt>
                <c:pt idx="506">
                  <c:v>0.64124959573718099</c:v>
                </c:pt>
                <c:pt idx="507">
                  <c:v>0.64251710088817826</c:v>
                </c:pt>
                <c:pt idx="508">
                  <c:v>0.64378460603917553</c:v>
                </c:pt>
                <c:pt idx="509">
                  <c:v>0.64505211119017281</c:v>
                </c:pt>
                <c:pt idx="510">
                  <c:v>0.64631961634117008</c:v>
                </c:pt>
                <c:pt idx="511">
                  <c:v>0.64758712149216735</c:v>
                </c:pt>
                <c:pt idx="512">
                  <c:v>0.64885462664316462</c:v>
                </c:pt>
                <c:pt idx="513">
                  <c:v>0.65012213179416189</c:v>
                </c:pt>
                <c:pt idx="514">
                  <c:v>0.65138963694515917</c:v>
                </c:pt>
                <c:pt idx="515">
                  <c:v>0.65265714209615644</c:v>
                </c:pt>
                <c:pt idx="516">
                  <c:v>0.65392464724715371</c:v>
                </c:pt>
                <c:pt idx="517">
                  <c:v>0.65519215239815098</c:v>
                </c:pt>
                <c:pt idx="518">
                  <c:v>0.65645965754914826</c:v>
                </c:pt>
                <c:pt idx="519">
                  <c:v>0.65772716270014553</c:v>
                </c:pt>
                <c:pt idx="520">
                  <c:v>0.6589946678511428</c:v>
                </c:pt>
                <c:pt idx="521">
                  <c:v>0.66026217300214007</c:v>
                </c:pt>
                <c:pt idx="522">
                  <c:v>0.66152967815313735</c:v>
                </c:pt>
                <c:pt idx="523">
                  <c:v>0.66279718330413462</c:v>
                </c:pt>
                <c:pt idx="524">
                  <c:v>0.66406468845513189</c:v>
                </c:pt>
                <c:pt idx="525">
                  <c:v>0.66533219360612916</c:v>
                </c:pt>
                <c:pt idx="526">
                  <c:v>0.66659969875712644</c:v>
                </c:pt>
                <c:pt idx="527">
                  <c:v>0.66786720390812371</c:v>
                </c:pt>
                <c:pt idx="528">
                  <c:v>0.66913470905912098</c:v>
                </c:pt>
                <c:pt idx="529">
                  <c:v>0.67040221421011825</c:v>
                </c:pt>
                <c:pt idx="530">
                  <c:v>0.67166971936111552</c:v>
                </c:pt>
                <c:pt idx="531">
                  <c:v>0.6729372245121128</c:v>
                </c:pt>
                <c:pt idx="532">
                  <c:v>0.67420472966311007</c:v>
                </c:pt>
                <c:pt idx="533">
                  <c:v>0.67547223481410734</c:v>
                </c:pt>
                <c:pt idx="534">
                  <c:v>0.67673973996510461</c:v>
                </c:pt>
                <c:pt idx="535">
                  <c:v>0.67800724511610189</c:v>
                </c:pt>
                <c:pt idx="536">
                  <c:v>0.67927475026709916</c:v>
                </c:pt>
                <c:pt idx="537">
                  <c:v>0.68054225541809643</c:v>
                </c:pt>
                <c:pt idx="538">
                  <c:v>0.6818097605690937</c:v>
                </c:pt>
                <c:pt idx="539">
                  <c:v>0.68307726572009098</c:v>
                </c:pt>
                <c:pt idx="540">
                  <c:v>0.68434477087108825</c:v>
                </c:pt>
                <c:pt idx="541">
                  <c:v>0.68561227602208552</c:v>
                </c:pt>
                <c:pt idx="542">
                  <c:v>0.68687978117308279</c:v>
                </c:pt>
                <c:pt idx="543">
                  <c:v>0.68814728632408007</c:v>
                </c:pt>
                <c:pt idx="544">
                  <c:v>0.68941479147507734</c:v>
                </c:pt>
                <c:pt idx="545">
                  <c:v>0.69068229662607461</c:v>
                </c:pt>
                <c:pt idx="546">
                  <c:v>0.69194980177707188</c:v>
                </c:pt>
                <c:pt idx="547">
                  <c:v>0.69321730692806915</c:v>
                </c:pt>
                <c:pt idx="548">
                  <c:v>0.69448481207906643</c:v>
                </c:pt>
                <c:pt idx="549">
                  <c:v>0.6957523172300637</c:v>
                </c:pt>
                <c:pt idx="550">
                  <c:v>0.69701982238106097</c:v>
                </c:pt>
                <c:pt idx="551">
                  <c:v>0.69828732753205824</c:v>
                </c:pt>
                <c:pt idx="552">
                  <c:v>0.69955483268305552</c:v>
                </c:pt>
                <c:pt idx="553">
                  <c:v>0.70082233783405279</c:v>
                </c:pt>
                <c:pt idx="554">
                  <c:v>0.70208984298505006</c:v>
                </c:pt>
                <c:pt idx="555">
                  <c:v>0.70335734813604733</c:v>
                </c:pt>
                <c:pt idx="556">
                  <c:v>0.70462485328704461</c:v>
                </c:pt>
                <c:pt idx="557">
                  <c:v>0.70589235843804188</c:v>
                </c:pt>
                <c:pt idx="558">
                  <c:v>0.70715986358903915</c:v>
                </c:pt>
                <c:pt idx="559">
                  <c:v>0.70842736874003642</c:v>
                </c:pt>
                <c:pt idx="560">
                  <c:v>0.7096948738910337</c:v>
                </c:pt>
                <c:pt idx="561">
                  <c:v>0.71096237904203097</c:v>
                </c:pt>
                <c:pt idx="562">
                  <c:v>0.71222988419302824</c:v>
                </c:pt>
                <c:pt idx="563">
                  <c:v>0.71349738934402551</c:v>
                </c:pt>
                <c:pt idx="564">
                  <c:v>0.71476489449502278</c:v>
                </c:pt>
                <c:pt idx="565">
                  <c:v>0.71603239964602006</c:v>
                </c:pt>
                <c:pt idx="566">
                  <c:v>0.71729990479701733</c:v>
                </c:pt>
                <c:pt idx="567">
                  <c:v>0.7185674099480146</c:v>
                </c:pt>
                <c:pt idx="568">
                  <c:v>0.71983491509901187</c:v>
                </c:pt>
                <c:pt idx="569">
                  <c:v>0.72110242025000915</c:v>
                </c:pt>
                <c:pt idx="570">
                  <c:v>0.72236992540100642</c:v>
                </c:pt>
                <c:pt idx="571">
                  <c:v>0.72363743055200369</c:v>
                </c:pt>
                <c:pt idx="572">
                  <c:v>0.72490493570300096</c:v>
                </c:pt>
                <c:pt idx="573">
                  <c:v>0.72617244085399824</c:v>
                </c:pt>
                <c:pt idx="574">
                  <c:v>0.72743994600499551</c:v>
                </c:pt>
                <c:pt idx="575">
                  <c:v>0.72870745115599278</c:v>
                </c:pt>
                <c:pt idx="576">
                  <c:v>0.72997495630699005</c:v>
                </c:pt>
                <c:pt idx="577">
                  <c:v>0.73124246145798732</c:v>
                </c:pt>
                <c:pt idx="578">
                  <c:v>0.7325099666089846</c:v>
                </c:pt>
                <c:pt idx="579">
                  <c:v>0.73377747175998187</c:v>
                </c:pt>
                <c:pt idx="580">
                  <c:v>0.73504497691097914</c:v>
                </c:pt>
                <c:pt idx="581">
                  <c:v>0.73631248206197641</c:v>
                </c:pt>
                <c:pt idx="582">
                  <c:v>0.73757998721297369</c:v>
                </c:pt>
                <c:pt idx="583">
                  <c:v>0.73884749236397096</c:v>
                </c:pt>
                <c:pt idx="584">
                  <c:v>0.74011499751496823</c:v>
                </c:pt>
                <c:pt idx="585">
                  <c:v>0.7413825026659655</c:v>
                </c:pt>
                <c:pt idx="586">
                  <c:v>0.74265000781696278</c:v>
                </c:pt>
                <c:pt idx="587">
                  <c:v>0.74391751296796005</c:v>
                </c:pt>
                <c:pt idx="588">
                  <c:v>0.74518501811895732</c:v>
                </c:pt>
                <c:pt idx="589">
                  <c:v>0.74645252326995459</c:v>
                </c:pt>
                <c:pt idx="590">
                  <c:v>0.74772002842095187</c:v>
                </c:pt>
                <c:pt idx="591">
                  <c:v>0.74898753357194914</c:v>
                </c:pt>
                <c:pt idx="592">
                  <c:v>0.75025503872294641</c:v>
                </c:pt>
                <c:pt idx="593">
                  <c:v>0.75152254387394368</c:v>
                </c:pt>
                <c:pt idx="594">
                  <c:v>0.75279004902494095</c:v>
                </c:pt>
                <c:pt idx="595">
                  <c:v>0.75405755417593823</c:v>
                </c:pt>
                <c:pt idx="596">
                  <c:v>0.7553250593269355</c:v>
                </c:pt>
                <c:pt idx="597">
                  <c:v>0.75659256447793277</c:v>
                </c:pt>
                <c:pt idx="598">
                  <c:v>0.75786006962893004</c:v>
                </c:pt>
                <c:pt idx="599">
                  <c:v>0.75912757477992732</c:v>
                </c:pt>
                <c:pt idx="600">
                  <c:v>0.76039507993092459</c:v>
                </c:pt>
                <c:pt idx="601">
                  <c:v>0.76166258508192186</c:v>
                </c:pt>
                <c:pt idx="602">
                  <c:v>0.76293009023291913</c:v>
                </c:pt>
                <c:pt idx="603">
                  <c:v>0.76419759538391641</c:v>
                </c:pt>
                <c:pt idx="604">
                  <c:v>0.76546510053491368</c:v>
                </c:pt>
                <c:pt idx="605">
                  <c:v>0.76673260568591095</c:v>
                </c:pt>
                <c:pt idx="606">
                  <c:v>0.76800011083690822</c:v>
                </c:pt>
                <c:pt idx="607">
                  <c:v>0.7692676159879055</c:v>
                </c:pt>
                <c:pt idx="608">
                  <c:v>0.77053512113890277</c:v>
                </c:pt>
                <c:pt idx="609">
                  <c:v>0.77180262628990004</c:v>
                </c:pt>
                <c:pt idx="610">
                  <c:v>0.77307013144089731</c:v>
                </c:pt>
                <c:pt idx="611">
                  <c:v>0.77433763659189458</c:v>
                </c:pt>
                <c:pt idx="612">
                  <c:v>0.77560514174289186</c:v>
                </c:pt>
                <c:pt idx="613">
                  <c:v>0.77687264689388913</c:v>
                </c:pt>
                <c:pt idx="614">
                  <c:v>0.7781401520448864</c:v>
                </c:pt>
                <c:pt idx="615">
                  <c:v>0.77940765719588367</c:v>
                </c:pt>
                <c:pt idx="616">
                  <c:v>0.78067516234688095</c:v>
                </c:pt>
                <c:pt idx="617">
                  <c:v>0.78194266749787822</c:v>
                </c:pt>
                <c:pt idx="618">
                  <c:v>0.78321017264887549</c:v>
                </c:pt>
                <c:pt idx="619">
                  <c:v>0.78447767779987276</c:v>
                </c:pt>
                <c:pt idx="620">
                  <c:v>0.78574518295087004</c:v>
                </c:pt>
                <c:pt idx="621">
                  <c:v>0.78701268810186731</c:v>
                </c:pt>
                <c:pt idx="622">
                  <c:v>0.78828019325286458</c:v>
                </c:pt>
                <c:pt idx="623">
                  <c:v>0.78954769840386185</c:v>
                </c:pt>
                <c:pt idx="624">
                  <c:v>0.79081520355485913</c:v>
                </c:pt>
                <c:pt idx="625">
                  <c:v>0.7920827087058564</c:v>
                </c:pt>
                <c:pt idx="626">
                  <c:v>0.79335021385685367</c:v>
                </c:pt>
                <c:pt idx="627">
                  <c:v>0.79461771900785094</c:v>
                </c:pt>
                <c:pt idx="628">
                  <c:v>0.79588522415884821</c:v>
                </c:pt>
                <c:pt idx="629">
                  <c:v>0.79715272930984549</c:v>
                </c:pt>
                <c:pt idx="630">
                  <c:v>0.79842023446084276</c:v>
                </c:pt>
                <c:pt idx="631">
                  <c:v>0.79968773961184003</c:v>
                </c:pt>
                <c:pt idx="632">
                  <c:v>0.8009552447628373</c:v>
                </c:pt>
                <c:pt idx="633">
                  <c:v>0.80222274991383458</c:v>
                </c:pt>
                <c:pt idx="634">
                  <c:v>0.80349025506483185</c:v>
                </c:pt>
                <c:pt idx="635">
                  <c:v>0.80475776021582912</c:v>
                </c:pt>
                <c:pt idx="636">
                  <c:v>0.80602526536682639</c:v>
                </c:pt>
                <c:pt idx="637">
                  <c:v>0.80729277051782367</c:v>
                </c:pt>
                <c:pt idx="638">
                  <c:v>0.80856027566882094</c:v>
                </c:pt>
                <c:pt idx="639">
                  <c:v>0.80982778081981821</c:v>
                </c:pt>
                <c:pt idx="640">
                  <c:v>0.81109528597081548</c:v>
                </c:pt>
                <c:pt idx="641">
                  <c:v>0.81236279112181276</c:v>
                </c:pt>
                <c:pt idx="642">
                  <c:v>0.81363029627281003</c:v>
                </c:pt>
                <c:pt idx="643">
                  <c:v>0.8148978014238073</c:v>
                </c:pt>
                <c:pt idx="644">
                  <c:v>0.81616530657480457</c:v>
                </c:pt>
                <c:pt idx="645">
                  <c:v>0.81743281172580184</c:v>
                </c:pt>
                <c:pt idx="646">
                  <c:v>0.81870031687679912</c:v>
                </c:pt>
                <c:pt idx="647">
                  <c:v>0.81996782202779639</c:v>
                </c:pt>
                <c:pt idx="648">
                  <c:v>0.82123532717879366</c:v>
                </c:pt>
                <c:pt idx="649">
                  <c:v>0.82250283232979093</c:v>
                </c:pt>
                <c:pt idx="650">
                  <c:v>0.82377033748078821</c:v>
                </c:pt>
                <c:pt idx="651">
                  <c:v>0.82503784263178548</c:v>
                </c:pt>
                <c:pt idx="652">
                  <c:v>0.82630534778278275</c:v>
                </c:pt>
                <c:pt idx="653">
                  <c:v>0.82757285293378002</c:v>
                </c:pt>
                <c:pt idx="654">
                  <c:v>0.8288403580847773</c:v>
                </c:pt>
                <c:pt idx="655">
                  <c:v>0.83010786323577457</c:v>
                </c:pt>
                <c:pt idx="656">
                  <c:v>0.83137536838677184</c:v>
                </c:pt>
                <c:pt idx="657">
                  <c:v>0.83264287353776911</c:v>
                </c:pt>
                <c:pt idx="658">
                  <c:v>0.83391037868876638</c:v>
                </c:pt>
                <c:pt idx="659">
                  <c:v>0.83517788383976366</c:v>
                </c:pt>
                <c:pt idx="660">
                  <c:v>0.83644538899076093</c:v>
                </c:pt>
                <c:pt idx="661">
                  <c:v>0.8377128941417582</c:v>
                </c:pt>
                <c:pt idx="662">
                  <c:v>0.83898039929275547</c:v>
                </c:pt>
                <c:pt idx="663">
                  <c:v>0.84024790444375275</c:v>
                </c:pt>
                <c:pt idx="664">
                  <c:v>0.84151540959475002</c:v>
                </c:pt>
                <c:pt idx="665">
                  <c:v>0.84278291474574729</c:v>
                </c:pt>
                <c:pt idx="666">
                  <c:v>0.84405041989674456</c:v>
                </c:pt>
                <c:pt idx="667">
                  <c:v>0.84531792504774184</c:v>
                </c:pt>
                <c:pt idx="668">
                  <c:v>0.84658543019873911</c:v>
                </c:pt>
                <c:pt idx="669">
                  <c:v>0.84785293534973638</c:v>
                </c:pt>
                <c:pt idx="670">
                  <c:v>0.84912044050073365</c:v>
                </c:pt>
                <c:pt idx="671">
                  <c:v>0.85038794565173093</c:v>
                </c:pt>
                <c:pt idx="672">
                  <c:v>0.8516554508027282</c:v>
                </c:pt>
                <c:pt idx="673">
                  <c:v>0.85292295595372547</c:v>
                </c:pt>
                <c:pt idx="674">
                  <c:v>0.85419046110472274</c:v>
                </c:pt>
                <c:pt idx="675">
                  <c:v>0.85545796625572001</c:v>
                </c:pt>
                <c:pt idx="676">
                  <c:v>0.85672547140671729</c:v>
                </c:pt>
                <c:pt idx="677">
                  <c:v>0.85799297655771456</c:v>
                </c:pt>
                <c:pt idx="678">
                  <c:v>0.85926048170871183</c:v>
                </c:pt>
                <c:pt idx="679">
                  <c:v>0.8605279868597091</c:v>
                </c:pt>
                <c:pt idx="680">
                  <c:v>0.86179549201070638</c:v>
                </c:pt>
                <c:pt idx="681">
                  <c:v>0.86306299716170365</c:v>
                </c:pt>
                <c:pt idx="682">
                  <c:v>0.86433050231270092</c:v>
                </c:pt>
                <c:pt idx="683">
                  <c:v>0.86559800746369819</c:v>
                </c:pt>
                <c:pt idx="684">
                  <c:v>0.86686551261469547</c:v>
                </c:pt>
                <c:pt idx="685">
                  <c:v>0.86813301776569274</c:v>
                </c:pt>
                <c:pt idx="686">
                  <c:v>0.86940052291669001</c:v>
                </c:pt>
                <c:pt idx="687">
                  <c:v>0.87066802806768728</c:v>
                </c:pt>
                <c:pt idx="688">
                  <c:v>0.87193553321868456</c:v>
                </c:pt>
                <c:pt idx="689">
                  <c:v>0.87320303836968183</c:v>
                </c:pt>
                <c:pt idx="690">
                  <c:v>0.8744705435206791</c:v>
                </c:pt>
                <c:pt idx="691">
                  <c:v>0.87573804867167637</c:v>
                </c:pt>
                <c:pt idx="692">
                  <c:v>0.87700555382267364</c:v>
                </c:pt>
                <c:pt idx="693">
                  <c:v>0.87827305897367092</c:v>
                </c:pt>
                <c:pt idx="694">
                  <c:v>0.87954056412466819</c:v>
                </c:pt>
                <c:pt idx="695">
                  <c:v>0.88080806927566546</c:v>
                </c:pt>
                <c:pt idx="696">
                  <c:v>0.88207557442666273</c:v>
                </c:pt>
                <c:pt idx="697">
                  <c:v>0.88334307957766001</c:v>
                </c:pt>
                <c:pt idx="698">
                  <c:v>0.88461058472865728</c:v>
                </c:pt>
                <c:pt idx="699">
                  <c:v>0.88587808987965455</c:v>
                </c:pt>
                <c:pt idx="700">
                  <c:v>0.88714559503065182</c:v>
                </c:pt>
                <c:pt idx="701">
                  <c:v>0.8884131001816491</c:v>
                </c:pt>
                <c:pt idx="702">
                  <c:v>0.88968060533264637</c:v>
                </c:pt>
                <c:pt idx="703">
                  <c:v>0.89094811048364364</c:v>
                </c:pt>
                <c:pt idx="704">
                  <c:v>0.89221561563464091</c:v>
                </c:pt>
                <c:pt idx="705">
                  <c:v>0.89348312078563819</c:v>
                </c:pt>
                <c:pt idx="706">
                  <c:v>0.89475062593663546</c:v>
                </c:pt>
                <c:pt idx="707">
                  <c:v>0.89601813108763273</c:v>
                </c:pt>
                <c:pt idx="708">
                  <c:v>0.89728563623863</c:v>
                </c:pt>
                <c:pt idx="709">
                  <c:v>0.89855314138962727</c:v>
                </c:pt>
                <c:pt idx="710">
                  <c:v>0.89982064654062455</c:v>
                </c:pt>
                <c:pt idx="711">
                  <c:v>0.90108815169162182</c:v>
                </c:pt>
                <c:pt idx="712">
                  <c:v>0.90235565684261909</c:v>
                </c:pt>
                <c:pt idx="713">
                  <c:v>0.90362316199361636</c:v>
                </c:pt>
                <c:pt idx="714">
                  <c:v>0.90489066714461364</c:v>
                </c:pt>
                <c:pt idx="715">
                  <c:v>0.90615817229561091</c:v>
                </c:pt>
                <c:pt idx="716">
                  <c:v>0.90742567744660818</c:v>
                </c:pt>
                <c:pt idx="717">
                  <c:v>0.90869318259760545</c:v>
                </c:pt>
                <c:pt idx="718">
                  <c:v>0.90996068774860273</c:v>
                </c:pt>
                <c:pt idx="719">
                  <c:v>0.9112281928996</c:v>
                </c:pt>
                <c:pt idx="720">
                  <c:v>0.91249569805059727</c:v>
                </c:pt>
                <c:pt idx="721">
                  <c:v>0.91376320320159454</c:v>
                </c:pt>
                <c:pt idx="722">
                  <c:v>0.91503070835259182</c:v>
                </c:pt>
                <c:pt idx="723">
                  <c:v>0.91629821350358909</c:v>
                </c:pt>
                <c:pt idx="724">
                  <c:v>0.91756571865458636</c:v>
                </c:pt>
                <c:pt idx="725">
                  <c:v>0.91883322380558363</c:v>
                </c:pt>
                <c:pt idx="726">
                  <c:v>0.9201007289565809</c:v>
                </c:pt>
                <c:pt idx="727">
                  <c:v>0.92136823410757818</c:v>
                </c:pt>
                <c:pt idx="728">
                  <c:v>0.92263573925857545</c:v>
                </c:pt>
                <c:pt idx="729">
                  <c:v>0.92390324440957272</c:v>
                </c:pt>
                <c:pt idx="730">
                  <c:v>0.92517074956056999</c:v>
                </c:pt>
                <c:pt idx="731">
                  <c:v>0.92643825471156727</c:v>
                </c:pt>
                <c:pt idx="732">
                  <c:v>0.92770575986256454</c:v>
                </c:pt>
                <c:pt idx="733">
                  <c:v>0.92897326501356181</c:v>
                </c:pt>
                <c:pt idx="734">
                  <c:v>0.93024077016455908</c:v>
                </c:pt>
                <c:pt idx="735">
                  <c:v>0.93150827531555636</c:v>
                </c:pt>
                <c:pt idx="736">
                  <c:v>0.93277578046655363</c:v>
                </c:pt>
                <c:pt idx="737">
                  <c:v>0.9340432856175509</c:v>
                </c:pt>
                <c:pt idx="738">
                  <c:v>0.93531079076854817</c:v>
                </c:pt>
                <c:pt idx="739">
                  <c:v>0.93657829591954544</c:v>
                </c:pt>
                <c:pt idx="740">
                  <c:v>0.93784580107054272</c:v>
                </c:pt>
                <c:pt idx="741">
                  <c:v>0.93911330622153999</c:v>
                </c:pt>
                <c:pt idx="742">
                  <c:v>0.94038081137253726</c:v>
                </c:pt>
                <c:pt idx="743">
                  <c:v>0.94164831652353453</c:v>
                </c:pt>
                <c:pt idx="744">
                  <c:v>0.94291582167453181</c:v>
                </c:pt>
                <c:pt idx="745">
                  <c:v>0.94418332682552908</c:v>
                </c:pt>
                <c:pt idx="746">
                  <c:v>0.94545083197652635</c:v>
                </c:pt>
                <c:pt idx="747">
                  <c:v>0.94671833712752362</c:v>
                </c:pt>
                <c:pt idx="748">
                  <c:v>0.9479858422785209</c:v>
                </c:pt>
                <c:pt idx="749">
                  <c:v>0.94925334742951817</c:v>
                </c:pt>
                <c:pt idx="750">
                  <c:v>0.95052085258051544</c:v>
                </c:pt>
                <c:pt idx="751">
                  <c:v>0.95178835773151271</c:v>
                </c:pt>
                <c:pt idx="752">
                  <c:v>0.95305586288250999</c:v>
                </c:pt>
                <c:pt idx="753">
                  <c:v>0.95432336803350726</c:v>
                </c:pt>
                <c:pt idx="754">
                  <c:v>0.95559087318450453</c:v>
                </c:pt>
                <c:pt idx="755">
                  <c:v>0.9568583783355018</c:v>
                </c:pt>
                <c:pt idx="756">
                  <c:v>0.95812588348649907</c:v>
                </c:pt>
                <c:pt idx="757">
                  <c:v>0.95939338863749635</c:v>
                </c:pt>
                <c:pt idx="758">
                  <c:v>0.96066089378849362</c:v>
                </c:pt>
                <c:pt idx="759">
                  <c:v>0.96192839893949089</c:v>
                </c:pt>
                <c:pt idx="760">
                  <c:v>0.96319590409048816</c:v>
                </c:pt>
                <c:pt idx="761">
                  <c:v>0.96446340924148544</c:v>
                </c:pt>
                <c:pt idx="762">
                  <c:v>0.96573091439248271</c:v>
                </c:pt>
                <c:pt idx="763">
                  <c:v>0.96699841954347998</c:v>
                </c:pt>
                <c:pt idx="764">
                  <c:v>0.96826592469447725</c:v>
                </c:pt>
                <c:pt idx="765">
                  <c:v>0.96953342984547453</c:v>
                </c:pt>
                <c:pt idx="766">
                  <c:v>0.9708009349964718</c:v>
                </c:pt>
                <c:pt idx="767">
                  <c:v>0.97206844014746907</c:v>
                </c:pt>
                <c:pt idx="768">
                  <c:v>0.97333594529846634</c:v>
                </c:pt>
                <c:pt idx="769">
                  <c:v>0.97460345044946362</c:v>
                </c:pt>
                <c:pt idx="770">
                  <c:v>0.97587095560046089</c:v>
                </c:pt>
                <c:pt idx="771">
                  <c:v>0.97713846075145816</c:v>
                </c:pt>
                <c:pt idx="772">
                  <c:v>0.97840596590245543</c:v>
                </c:pt>
                <c:pt idx="773">
                  <c:v>0.9796734710534527</c:v>
                </c:pt>
                <c:pt idx="774">
                  <c:v>0.98094097620444998</c:v>
                </c:pt>
                <c:pt idx="775">
                  <c:v>0.98220848135544725</c:v>
                </c:pt>
                <c:pt idx="776">
                  <c:v>0.98347598650644452</c:v>
                </c:pt>
                <c:pt idx="777">
                  <c:v>0.98474349165744179</c:v>
                </c:pt>
                <c:pt idx="778">
                  <c:v>0.98601099680843907</c:v>
                </c:pt>
                <c:pt idx="779">
                  <c:v>0.98727850195943634</c:v>
                </c:pt>
                <c:pt idx="780">
                  <c:v>0.98854600711043361</c:v>
                </c:pt>
                <c:pt idx="781">
                  <c:v>0.98981351226143088</c:v>
                </c:pt>
                <c:pt idx="782">
                  <c:v>0.99108101741242816</c:v>
                </c:pt>
                <c:pt idx="783">
                  <c:v>0.99234852256342543</c:v>
                </c:pt>
                <c:pt idx="784">
                  <c:v>0.9936160277144227</c:v>
                </c:pt>
                <c:pt idx="785">
                  <c:v>0.99488353286541997</c:v>
                </c:pt>
                <c:pt idx="786">
                  <c:v>0.99615103801641725</c:v>
                </c:pt>
                <c:pt idx="787">
                  <c:v>0.99741854316741452</c:v>
                </c:pt>
                <c:pt idx="788">
                  <c:v>0.99868604831841179</c:v>
                </c:pt>
                <c:pt idx="789">
                  <c:v>0.99995355346940906</c:v>
                </c:pt>
                <c:pt idx="790">
                  <c:v>1.0012210586204062</c:v>
                </c:pt>
                <c:pt idx="791">
                  <c:v>1.0024885637714034</c:v>
                </c:pt>
                <c:pt idx="792">
                  <c:v>1.0037560689224005</c:v>
                </c:pt>
                <c:pt idx="793">
                  <c:v>1.0050235740733977</c:v>
                </c:pt>
                <c:pt idx="794">
                  <c:v>1.0062910792243949</c:v>
                </c:pt>
                <c:pt idx="795">
                  <c:v>1.007558584375392</c:v>
                </c:pt>
                <c:pt idx="796">
                  <c:v>1.0088260895263892</c:v>
                </c:pt>
                <c:pt idx="797">
                  <c:v>1.0100935946773864</c:v>
                </c:pt>
                <c:pt idx="798">
                  <c:v>1.0113610998283835</c:v>
                </c:pt>
                <c:pt idx="799">
                  <c:v>1.0126286049793807</c:v>
                </c:pt>
                <c:pt idx="800">
                  <c:v>1.0138961101303778</c:v>
                </c:pt>
                <c:pt idx="801">
                  <c:v>1.015163615281375</c:v>
                </c:pt>
                <c:pt idx="802">
                  <c:v>1.0164311204323722</c:v>
                </c:pt>
                <c:pt idx="803">
                  <c:v>1.0176986255833693</c:v>
                </c:pt>
                <c:pt idx="804">
                  <c:v>1.0189661307343665</c:v>
                </c:pt>
                <c:pt idx="805">
                  <c:v>1.0202336358853636</c:v>
                </c:pt>
                <c:pt idx="806">
                  <c:v>1.0215011410363608</c:v>
                </c:pt>
                <c:pt idx="807">
                  <c:v>1.022768646187358</c:v>
                </c:pt>
                <c:pt idx="808">
                  <c:v>1.0240361513383551</c:v>
                </c:pt>
                <c:pt idx="809">
                  <c:v>1.0253036564893523</c:v>
                </c:pt>
                <c:pt idx="810">
                  <c:v>1.0265711616403494</c:v>
                </c:pt>
                <c:pt idx="811">
                  <c:v>1.0278386667913466</c:v>
                </c:pt>
                <c:pt idx="812">
                  <c:v>1.0291061719423438</c:v>
                </c:pt>
                <c:pt idx="813">
                  <c:v>1.0303736770933409</c:v>
                </c:pt>
                <c:pt idx="814">
                  <c:v>1.0316411822443381</c:v>
                </c:pt>
                <c:pt idx="815">
                  <c:v>1.0329086873953353</c:v>
                </c:pt>
                <c:pt idx="816">
                  <c:v>1.0341761925463324</c:v>
                </c:pt>
                <c:pt idx="817">
                  <c:v>1.0354436976973296</c:v>
                </c:pt>
                <c:pt idx="818">
                  <c:v>1.0367112028483267</c:v>
                </c:pt>
                <c:pt idx="819">
                  <c:v>1.0379787079993239</c:v>
                </c:pt>
                <c:pt idx="820">
                  <c:v>1.0392462131503211</c:v>
                </c:pt>
                <c:pt idx="821">
                  <c:v>1.0405137183013182</c:v>
                </c:pt>
                <c:pt idx="822">
                  <c:v>1.0417812234523154</c:v>
                </c:pt>
                <c:pt idx="823">
                  <c:v>1.0430487286033125</c:v>
                </c:pt>
                <c:pt idx="824">
                  <c:v>1.0443162337543097</c:v>
                </c:pt>
                <c:pt idx="825">
                  <c:v>1.0455837389053069</c:v>
                </c:pt>
                <c:pt idx="826">
                  <c:v>1.046851244056304</c:v>
                </c:pt>
                <c:pt idx="827">
                  <c:v>1.0481187492073012</c:v>
                </c:pt>
                <c:pt idx="828">
                  <c:v>1.0493862543582984</c:v>
                </c:pt>
                <c:pt idx="829">
                  <c:v>1.0506537595092955</c:v>
                </c:pt>
                <c:pt idx="830">
                  <c:v>1.0519212646602927</c:v>
                </c:pt>
                <c:pt idx="831">
                  <c:v>1.0531887698112898</c:v>
                </c:pt>
                <c:pt idx="832">
                  <c:v>1.054456274962287</c:v>
                </c:pt>
                <c:pt idx="833">
                  <c:v>1.0557237801132842</c:v>
                </c:pt>
                <c:pt idx="834">
                  <c:v>1.0569912852642813</c:v>
                </c:pt>
                <c:pt idx="835">
                  <c:v>1.0582587904152785</c:v>
                </c:pt>
                <c:pt idx="836">
                  <c:v>1.0595262955662756</c:v>
                </c:pt>
                <c:pt idx="837">
                  <c:v>1.0607938007172728</c:v>
                </c:pt>
                <c:pt idx="838">
                  <c:v>1.06206130586827</c:v>
                </c:pt>
                <c:pt idx="839">
                  <c:v>1.0633288110192671</c:v>
                </c:pt>
                <c:pt idx="840">
                  <c:v>1.0645963161702643</c:v>
                </c:pt>
                <c:pt idx="841">
                  <c:v>1.0658638213212615</c:v>
                </c:pt>
                <c:pt idx="842">
                  <c:v>1.0671313264722586</c:v>
                </c:pt>
                <c:pt idx="843">
                  <c:v>1.0683988316232558</c:v>
                </c:pt>
                <c:pt idx="844">
                  <c:v>1.0696663367742529</c:v>
                </c:pt>
                <c:pt idx="845">
                  <c:v>1.0709338419252501</c:v>
                </c:pt>
                <c:pt idx="846">
                  <c:v>1.0722013470762473</c:v>
                </c:pt>
                <c:pt idx="847">
                  <c:v>1.0734688522272444</c:v>
                </c:pt>
                <c:pt idx="848">
                  <c:v>1.0747363573782416</c:v>
                </c:pt>
                <c:pt idx="849">
                  <c:v>1.0760038625292387</c:v>
                </c:pt>
                <c:pt idx="850">
                  <c:v>1.0772713676802359</c:v>
                </c:pt>
                <c:pt idx="851">
                  <c:v>1.0785388728312331</c:v>
                </c:pt>
                <c:pt idx="852">
                  <c:v>1.0798063779822302</c:v>
                </c:pt>
                <c:pt idx="853">
                  <c:v>1.0810738831332274</c:v>
                </c:pt>
                <c:pt idx="854">
                  <c:v>1.0823413882842245</c:v>
                </c:pt>
                <c:pt idx="855">
                  <c:v>1.0836088934352217</c:v>
                </c:pt>
                <c:pt idx="856">
                  <c:v>1.0848763985862189</c:v>
                </c:pt>
                <c:pt idx="857">
                  <c:v>1.086143903737216</c:v>
                </c:pt>
                <c:pt idx="858">
                  <c:v>1.0874114088882132</c:v>
                </c:pt>
                <c:pt idx="859">
                  <c:v>1.0886789140392104</c:v>
                </c:pt>
                <c:pt idx="860">
                  <c:v>1.0899464191902075</c:v>
                </c:pt>
                <c:pt idx="861">
                  <c:v>1.0912139243412047</c:v>
                </c:pt>
                <c:pt idx="862">
                  <c:v>1.0924814294922018</c:v>
                </c:pt>
                <c:pt idx="863">
                  <c:v>1.093748934643199</c:v>
                </c:pt>
                <c:pt idx="864">
                  <c:v>1.0950164397941962</c:v>
                </c:pt>
                <c:pt idx="865">
                  <c:v>1.0962839449451933</c:v>
                </c:pt>
                <c:pt idx="866">
                  <c:v>1.0975514500961905</c:v>
                </c:pt>
                <c:pt idx="867">
                  <c:v>1.0988189552471876</c:v>
                </c:pt>
                <c:pt idx="868">
                  <c:v>1.1000864603981848</c:v>
                </c:pt>
                <c:pt idx="869">
                  <c:v>1.101353965549182</c:v>
                </c:pt>
                <c:pt idx="870">
                  <c:v>1.1026214707001791</c:v>
                </c:pt>
                <c:pt idx="871">
                  <c:v>1.1038889758511763</c:v>
                </c:pt>
                <c:pt idx="872">
                  <c:v>1.1051564810021735</c:v>
                </c:pt>
                <c:pt idx="873">
                  <c:v>1.1064239861531706</c:v>
                </c:pt>
                <c:pt idx="874">
                  <c:v>1.1076914913041678</c:v>
                </c:pt>
                <c:pt idx="875">
                  <c:v>1.1089589964551649</c:v>
                </c:pt>
                <c:pt idx="876">
                  <c:v>1.1102265016061621</c:v>
                </c:pt>
                <c:pt idx="877">
                  <c:v>1.1114940067571593</c:v>
                </c:pt>
                <c:pt idx="878">
                  <c:v>1.1127615119081564</c:v>
                </c:pt>
                <c:pt idx="879">
                  <c:v>1.1140290170591536</c:v>
                </c:pt>
                <c:pt idx="880">
                  <c:v>1.1152965222101507</c:v>
                </c:pt>
                <c:pt idx="881">
                  <c:v>1.1165640273611479</c:v>
                </c:pt>
                <c:pt idx="882">
                  <c:v>1.1178315325121451</c:v>
                </c:pt>
                <c:pt idx="883">
                  <c:v>1.1190990376631422</c:v>
                </c:pt>
                <c:pt idx="884">
                  <c:v>1.1203665428141394</c:v>
                </c:pt>
                <c:pt idx="885">
                  <c:v>1.1216340479651365</c:v>
                </c:pt>
                <c:pt idx="886">
                  <c:v>1.1229015531161337</c:v>
                </c:pt>
                <c:pt idx="887">
                  <c:v>1.1241690582671309</c:v>
                </c:pt>
                <c:pt idx="888">
                  <c:v>1.125436563418128</c:v>
                </c:pt>
                <c:pt idx="889">
                  <c:v>1.1267040685691252</c:v>
                </c:pt>
                <c:pt idx="890">
                  <c:v>1.1279715737201224</c:v>
                </c:pt>
                <c:pt idx="891">
                  <c:v>1.1292390788711195</c:v>
                </c:pt>
                <c:pt idx="892">
                  <c:v>1.1305065840221167</c:v>
                </c:pt>
                <c:pt idx="893">
                  <c:v>1.1317740891731138</c:v>
                </c:pt>
                <c:pt idx="894">
                  <c:v>1.133041594324111</c:v>
                </c:pt>
                <c:pt idx="895">
                  <c:v>1.1343090994751082</c:v>
                </c:pt>
                <c:pt idx="896">
                  <c:v>1.1355766046261053</c:v>
                </c:pt>
                <c:pt idx="897">
                  <c:v>1.1368441097771025</c:v>
                </c:pt>
                <c:pt idx="898">
                  <c:v>1.1381116149280996</c:v>
                </c:pt>
                <c:pt idx="899">
                  <c:v>1.1393791200790968</c:v>
                </c:pt>
                <c:pt idx="900">
                  <c:v>1.140646625230094</c:v>
                </c:pt>
                <c:pt idx="901">
                  <c:v>1.1419141303810911</c:v>
                </c:pt>
                <c:pt idx="902">
                  <c:v>1.1431816355320883</c:v>
                </c:pt>
                <c:pt idx="903">
                  <c:v>1.1444491406830855</c:v>
                </c:pt>
                <c:pt idx="904">
                  <c:v>1.1457166458340826</c:v>
                </c:pt>
                <c:pt idx="905">
                  <c:v>1.1469841509850798</c:v>
                </c:pt>
                <c:pt idx="906">
                  <c:v>1.1482516561360769</c:v>
                </c:pt>
                <c:pt idx="907">
                  <c:v>1.1495191612870741</c:v>
                </c:pt>
                <c:pt idx="908">
                  <c:v>1.1507866664380713</c:v>
                </c:pt>
                <c:pt idx="909">
                  <c:v>1.1520541715890684</c:v>
                </c:pt>
                <c:pt idx="910">
                  <c:v>1.1533216767400656</c:v>
                </c:pt>
                <c:pt idx="911">
                  <c:v>1.1545891818910627</c:v>
                </c:pt>
                <c:pt idx="912">
                  <c:v>1.1558566870420599</c:v>
                </c:pt>
                <c:pt idx="913">
                  <c:v>1.1571241921930571</c:v>
                </c:pt>
                <c:pt idx="914">
                  <c:v>1.1583916973440542</c:v>
                </c:pt>
                <c:pt idx="915">
                  <c:v>1.1596592024950514</c:v>
                </c:pt>
                <c:pt idx="916">
                  <c:v>1.1609267076460486</c:v>
                </c:pt>
                <c:pt idx="917">
                  <c:v>1.1621942127970457</c:v>
                </c:pt>
                <c:pt idx="918">
                  <c:v>1.1634617179480429</c:v>
                </c:pt>
                <c:pt idx="919">
                  <c:v>1.16472922309904</c:v>
                </c:pt>
                <c:pt idx="920">
                  <c:v>1.1659967282500372</c:v>
                </c:pt>
                <c:pt idx="921">
                  <c:v>1.1672642334010344</c:v>
                </c:pt>
                <c:pt idx="922">
                  <c:v>1.1685317385520315</c:v>
                </c:pt>
                <c:pt idx="923">
                  <c:v>1.1697992437030287</c:v>
                </c:pt>
                <c:pt idx="924">
                  <c:v>1.1710667488540258</c:v>
                </c:pt>
                <c:pt idx="925">
                  <c:v>1.172334254005023</c:v>
                </c:pt>
                <c:pt idx="926">
                  <c:v>1.1736017591560202</c:v>
                </c:pt>
                <c:pt idx="927">
                  <c:v>1.1748692643070173</c:v>
                </c:pt>
                <c:pt idx="928">
                  <c:v>1.1761367694580145</c:v>
                </c:pt>
                <c:pt idx="929">
                  <c:v>1.1774042746090116</c:v>
                </c:pt>
                <c:pt idx="930">
                  <c:v>1.1786717797600088</c:v>
                </c:pt>
                <c:pt idx="931">
                  <c:v>1.179939284911006</c:v>
                </c:pt>
                <c:pt idx="932">
                  <c:v>1.1812067900620031</c:v>
                </c:pt>
                <c:pt idx="933">
                  <c:v>1.1824742952130003</c:v>
                </c:pt>
                <c:pt idx="934">
                  <c:v>1.1837418003639975</c:v>
                </c:pt>
                <c:pt idx="935">
                  <c:v>1.1850093055149946</c:v>
                </c:pt>
                <c:pt idx="936">
                  <c:v>1.1862768106659918</c:v>
                </c:pt>
                <c:pt idx="937">
                  <c:v>1.1875443158169889</c:v>
                </c:pt>
                <c:pt idx="938">
                  <c:v>1.1888118209679861</c:v>
                </c:pt>
                <c:pt idx="939">
                  <c:v>1.1900793261189833</c:v>
                </c:pt>
                <c:pt idx="940">
                  <c:v>1.1913468312699804</c:v>
                </c:pt>
                <c:pt idx="941">
                  <c:v>1.1926143364209776</c:v>
                </c:pt>
                <c:pt idx="942">
                  <c:v>1.1938818415719747</c:v>
                </c:pt>
                <c:pt idx="943">
                  <c:v>1.1951493467229719</c:v>
                </c:pt>
                <c:pt idx="944">
                  <c:v>1.1964168518739691</c:v>
                </c:pt>
                <c:pt idx="945">
                  <c:v>1.1976843570249662</c:v>
                </c:pt>
                <c:pt idx="946">
                  <c:v>1.1989518621759634</c:v>
                </c:pt>
                <c:pt idx="947">
                  <c:v>1.2002193673269606</c:v>
                </c:pt>
                <c:pt idx="948">
                  <c:v>1.2014868724779577</c:v>
                </c:pt>
                <c:pt idx="949">
                  <c:v>1.2027543776289549</c:v>
                </c:pt>
                <c:pt idx="950">
                  <c:v>1.204021882779952</c:v>
                </c:pt>
                <c:pt idx="951">
                  <c:v>1.2052893879309492</c:v>
                </c:pt>
                <c:pt idx="952">
                  <c:v>1.2065568930819464</c:v>
                </c:pt>
                <c:pt idx="953">
                  <c:v>1.2078243982329435</c:v>
                </c:pt>
                <c:pt idx="954">
                  <c:v>1.2090919033839407</c:v>
                </c:pt>
                <c:pt idx="955">
                  <c:v>1.2103594085349378</c:v>
                </c:pt>
                <c:pt idx="956">
                  <c:v>1.211626913685935</c:v>
                </c:pt>
                <c:pt idx="957">
                  <c:v>1.2128944188369322</c:v>
                </c:pt>
                <c:pt idx="958">
                  <c:v>1.2141619239879293</c:v>
                </c:pt>
                <c:pt idx="959">
                  <c:v>1.2154294291389265</c:v>
                </c:pt>
                <c:pt idx="960">
                  <c:v>1.2166969342899236</c:v>
                </c:pt>
                <c:pt idx="961">
                  <c:v>1.2179644394409208</c:v>
                </c:pt>
                <c:pt idx="962">
                  <c:v>1.219231944591918</c:v>
                </c:pt>
                <c:pt idx="963">
                  <c:v>1.2204994497429151</c:v>
                </c:pt>
                <c:pt idx="964">
                  <c:v>1.2217669548939123</c:v>
                </c:pt>
                <c:pt idx="965">
                  <c:v>1.2230344600449095</c:v>
                </c:pt>
                <c:pt idx="966">
                  <c:v>1.2243019651959066</c:v>
                </c:pt>
                <c:pt idx="967">
                  <c:v>1.2255694703469038</c:v>
                </c:pt>
                <c:pt idx="968">
                  <c:v>1.2268369754979009</c:v>
                </c:pt>
                <c:pt idx="969">
                  <c:v>1.2281044806488981</c:v>
                </c:pt>
                <c:pt idx="970">
                  <c:v>1.2293719857998953</c:v>
                </c:pt>
                <c:pt idx="971">
                  <c:v>1.2306394909508924</c:v>
                </c:pt>
                <c:pt idx="972">
                  <c:v>1.2319069961018896</c:v>
                </c:pt>
                <c:pt idx="973">
                  <c:v>1.2331745012528867</c:v>
                </c:pt>
                <c:pt idx="974">
                  <c:v>1.2344420064038839</c:v>
                </c:pt>
                <c:pt idx="975">
                  <c:v>1.2357095115548811</c:v>
                </c:pt>
                <c:pt idx="976">
                  <c:v>1.2369770167058782</c:v>
                </c:pt>
                <c:pt idx="977">
                  <c:v>1.2382445218568754</c:v>
                </c:pt>
                <c:pt idx="978">
                  <c:v>1.2395120270078726</c:v>
                </c:pt>
                <c:pt idx="979">
                  <c:v>1.2407795321588697</c:v>
                </c:pt>
                <c:pt idx="980">
                  <c:v>1.2420470373098669</c:v>
                </c:pt>
                <c:pt idx="981">
                  <c:v>1.243314542460864</c:v>
                </c:pt>
                <c:pt idx="982">
                  <c:v>1.2445820476118612</c:v>
                </c:pt>
                <c:pt idx="983">
                  <c:v>1.2458495527628584</c:v>
                </c:pt>
                <c:pt idx="984">
                  <c:v>1.2471170579138555</c:v>
                </c:pt>
                <c:pt idx="985">
                  <c:v>1.2483845630648527</c:v>
                </c:pt>
                <c:pt idx="986">
                  <c:v>1.2496520682158498</c:v>
                </c:pt>
                <c:pt idx="987">
                  <c:v>1.250919573366847</c:v>
                </c:pt>
                <c:pt idx="988">
                  <c:v>1.2521870785178442</c:v>
                </c:pt>
                <c:pt idx="989">
                  <c:v>1.2534545836688413</c:v>
                </c:pt>
                <c:pt idx="990">
                  <c:v>1.2547220888198385</c:v>
                </c:pt>
                <c:pt idx="991">
                  <c:v>1.2559895939708356</c:v>
                </c:pt>
                <c:pt idx="992">
                  <c:v>1.2572570991218328</c:v>
                </c:pt>
                <c:pt idx="993">
                  <c:v>1.25852460427283</c:v>
                </c:pt>
                <c:pt idx="994">
                  <c:v>1.2597921094238271</c:v>
                </c:pt>
                <c:pt idx="995">
                  <c:v>1.2610596145748243</c:v>
                </c:pt>
                <c:pt idx="996">
                  <c:v>1.2623271197258215</c:v>
                </c:pt>
                <c:pt idx="997">
                  <c:v>1.2635946248768186</c:v>
                </c:pt>
              </c:numCache>
            </c:numRef>
          </c:xVal>
          <c:yVal>
            <c:numRef>
              <c:f>'RR-Plot-Data'!$C$4:$C$1001</c:f>
              <c:numCache>
                <c:formatCode>General</c:formatCode>
                <c:ptCount val="998"/>
                <c:pt idx="0">
                  <c:v>44.461681893208549</c:v>
                </c:pt>
                <c:pt idx="1">
                  <c:v>21.857475978202537</c:v>
                </c:pt>
                <c:pt idx="2">
                  <c:v>14.322240853965726</c:v>
                </c:pt>
                <c:pt idx="3">
                  <c:v>10.55424729717671</c:v>
                </c:pt>
                <c:pt idx="4">
                  <c:v>8.2931494595326019</c:v>
                </c:pt>
                <c:pt idx="5">
                  <c:v>6.7854987218849878</c:v>
                </c:pt>
                <c:pt idx="6">
                  <c:v>5.7083885305450011</c:v>
                </c:pt>
                <c:pt idx="7">
                  <c:v>4.9003656063595109</c:v>
                </c:pt>
                <c:pt idx="8">
                  <c:v>4.2717336810698008</c:v>
                </c:pt>
                <c:pt idx="9">
                  <c:v>3.7686749918549696</c:v>
                </c:pt>
                <c:pt idx="10">
                  <c:v>3.3569418697607079</c:v>
                </c:pt>
                <c:pt idx="11">
                  <c:v>3.0137025339136354</c:v>
                </c:pt>
                <c:pt idx="12">
                  <c:v>2.7231503653289764</c:v>
                </c:pt>
                <c:pt idx="13">
                  <c:v>2.4739949205149054</c:v>
                </c:pt>
                <c:pt idx="14">
                  <c:v>2.257956539635114</c:v>
                </c:pt>
                <c:pt idx="15">
                  <c:v>2.0688254766103769</c:v>
                </c:pt>
                <c:pt idx="16">
                  <c:v>1.9018531009489474</c:v>
                </c:pt>
                <c:pt idx="17">
                  <c:v>1.7533460323001169</c:v>
                </c:pt>
                <c:pt idx="18">
                  <c:v>1.6203884430434576</c:v>
                </c:pt>
                <c:pt idx="19">
                  <c:v>1.5006476701012721</c:v>
                </c:pt>
                <c:pt idx="20">
                  <c:v>1.3922353662331597</c:v>
                </c:pt>
                <c:pt idx="21">
                  <c:v>1.2936065191593171</c:v>
                </c:pt>
                <c:pt idx="22">
                  <c:v>1.2034848135212086</c:v>
                </c:pt>
                <c:pt idx="23">
                  <c:v>1.1208066523520432</c:v>
                </c:pt>
                <c:pt idx="24">
                  <c:v>1.0446786133943136</c:v>
                </c:pt>
                <c:pt idx="25">
                  <c:v>0.9743447231901835</c:v>
                </c:pt>
                <c:pt idx="26">
                  <c:v>0.90916100359621177</c:v>
                </c:pt>
                <c:pt idx="27">
                  <c:v>0.84857547261632726</c:v>
                </c:pt>
                <c:pt idx="28">
                  <c:v>0.79211228299347425</c:v>
                </c:pt>
                <c:pt idx="29">
                  <c:v>0.73935903308290851</c:v>
                </c:pt>
                <c:pt idx="30">
                  <c:v>0.68995653368547949</c:v>
                </c:pt>
                <c:pt idx="31">
                  <c:v>0.64359049359965059</c:v>
                </c:pt>
                <c:pt idx="32">
                  <c:v>0.59998471689131427</c:v>
                </c:pt>
                <c:pt idx="33">
                  <c:v>0.55889550064538362</c:v>
                </c:pt>
                <c:pt idx="34">
                  <c:v>0.52010699310280828</c:v>
                </c:pt>
                <c:pt idx="35">
                  <c:v>0.48342732544140077</c:v>
                </c:pt>
                <c:pt idx="36">
                  <c:v>0.44868537083542759</c:v>
                </c:pt>
                <c:pt idx="37">
                  <c:v>0.41572801524261804</c:v>
                </c:pt>
                <c:pt idx="38">
                  <c:v>0.38441784807007606</c:v>
                </c:pt>
                <c:pt idx="39">
                  <c:v>0.35463119924028597</c:v>
                </c:pt>
                <c:pt idx="40">
                  <c:v>0.32625646351573645</c:v>
                </c:pt>
                <c:pt idx="41">
                  <c:v>0.29919266420572266</c:v>
                </c:pt>
                <c:pt idx="42">
                  <c:v>0.27334821728613734</c:v>
                </c:pt>
                <c:pt idx="43">
                  <c:v>0.24863986404836402</c:v>
                </c:pt>
                <c:pt idx="44">
                  <c:v>0.22499174606163486</c:v>
                </c:pt>
                <c:pt idx="45">
                  <c:v>0.20233460079245646</c:v>
                </c:pt>
                <c:pt idx="46">
                  <c:v>0.18060505991090281</c:v>
                </c:pt>
                <c:pt idx="47">
                  <c:v>0.15974503530860407</c:v>
                </c:pt>
                <c:pt idx="48">
                  <c:v>0.1397011802981929</c:v>
                </c:pt>
                <c:pt idx="49">
                  <c:v>0.12042441546880089</c:v>
                </c:pt>
                <c:pt idx="50">
                  <c:v>0.10186951032324654</c:v>
                </c:pt>
                <c:pt idx="51">
                  <c:v>8.399471318784113E-2</c:v>
                </c:pt>
                <c:pt idx="52">
                  <c:v>6.6761423019182531E-2</c:v>
                </c:pt>
                <c:pt idx="53">
                  <c:v>5.0133897676846728E-2</c:v>
                </c:pt>
                <c:pt idx="54">
                  <c:v>3.4078994020863229E-2</c:v>
                </c:pt>
                <c:pt idx="55">
                  <c:v>1.8565935855872961E-2</c:v>
                </c:pt>
                <c:pt idx="56">
                  <c:v>3.5661063022062178E-3</c:v>
                </c:pt>
                <c:pt idx="57">
                  <c:v>-1.094713835420158E-2</c:v>
                </c:pt>
                <c:pt idx="58">
                  <c:v>-2.4998635881389952E-2</c:v>
                </c:pt>
                <c:pt idx="59">
                  <c:v>-3.8611568599008828E-2</c:v>
                </c:pt>
                <c:pt idx="60">
                  <c:v>-5.1807599072921873E-2</c:v>
                </c:pt>
                <c:pt idx="61">
                  <c:v>-6.4606992678085784E-2</c:v>
                </c:pt>
                <c:pt idx="62">
                  <c:v>-7.7028728488790388E-2</c:v>
                </c:pt>
                <c:pt idx="63">
                  <c:v>-8.9090599772949086E-2</c:v>
                </c:pt>
                <c:pt idx="64">
                  <c:v>-0.10080930521000742</c:v>
                </c:pt>
                <c:pt idx="65">
                  <c:v>-0.11220053181632761</c:v>
                </c:pt>
                <c:pt idx="66">
                  <c:v>-0.12327903044443178</c:v>
                </c:pt>
                <c:pt idx="67">
                  <c:v>-0.13405868462055948</c:v>
                </c:pt>
                <c:pt idx="68">
                  <c:v>-0.14455257339636363</c:v>
                </c:pt>
                <c:pt idx="69">
                  <c:v>-0.1547730288133311</c:v>
                </c:pt>
                <c:pt idx="70">
                  <c:v>-0.16473168851106723</c:v>
                </c:pt>
                <c:pt idx="71">
                  <c:v>-0.17443954395156835</c:v>
                </c:pt>
                <c:pt idx="72">
                  <c:v>-0.18390698467986866</c:v>
                </c:pt>
                <c:pt idx="73">
                  <c:v>-0.19314383899599752</c:v>
                </c:pt>
                <c:pt idx="74">
                  <c:v>-0.20215941137319349</c:v>
                </c:pt>
                <c:pt idx="75">
                  <c:v>-0.21096251692205892</c:v>
                </c:pt>
                <c:pt idx="76">
                  <c:v>-0.21956151316920969</c:v>
                </c:pt>
                <c:pt idx="77">
                  <c:v>-0.2279643293914243</c:v>
                </c:pt>
                <c:pt idx="78">
                  <c:v>-0.23617849372189625</c:v>
                </c:pt>
                <c:pt idx="79">
                  <c:v>-0.2442111582235269</c:v>
                </c:pt>
                <c:pt idx="80">
                  <c:v>-0.25206912210495136</c:v>
                </c:pt>
                <c:pt idx="81">
                  <c:v>-0.25975885323784131</c:v>
                </c:pt>
                <c:pt idx="82">
                  <c:v>-0.26728650811875265</c:v>
                </c:pt>
                <c:pt idx="83">
                  <c:v>-0.27465795040513663</c:v>
                </c:pt>
                <c:pt idx="84">
                  <c:v>-0.28187876814294077</c:v>
                </c:pt>
                <c:pt idx="85">
                  <c:v>-0.28895428979229398</c:v>
                </c:pt>
                <c:pt idx="86">
                  <c:v>-0.29588959914798374</c:v>
                </c:pt>
                <c:pt idx="87">
                  <c:v>-0.30268954924263924</c:v>
                </c:pt>
                <c:pt idx="88">
                  <c:v>-0.30935877531263334</c:v>
                </c:pt>
                <c:pt idx="89">
                  <c:v>-0.31590170689960217</c:v>
                </c:pt>
                <c:pt idx="90">
                  <c:v>-0.32232257915407281</c:v>
                </c:pt>
                <c:pt idx="91">
                  <c:v>-0.32862544340191036</c:v>
                </c:pt>
                <c:pt idx="92">
                  <c:v>-0.33481417702906879</c:v>
                </c:pt>
                <c:pt idx="93">
                  <c:v>-0.34089249273541272</c:v>
                </c:pt>
                <c:pt idx="94">
                  <c:v>-0.3468639472040968</c:v>
                </c:pt>
                <c:pt idx="95">
                  <c:v>-0.35273194922912177</c:v>
                </c:pt>
                <c:pt idx="96">
                  <c:v>-0.35849976734016487</c:v>
                </c:pt>
                <c:pt idx="97">
                  <c:v>-0.36417053696059548</c:v>
                </c:pt>
                <c:pt idx="98">
                  <c:v>-0.36974726713168282</c:v>
                </c:pt>
                <c:pt idx="99">
                  <c:v>-0.37523284683336178</c:v>
                </c:pt>
                <c:pt idx="100">
                  <c:v>-0.38063005092951868</c:v>
                </c:pt>
                <c:pt idx="101">
                  <c:v>-0.38594154576356648</c:v>
                </c:pt>
                <c:pt idx="102">
                  <c:v>-0.39116989442807332</c:v>
                </c:pt>
                <c:pt idx="103">
                  <c:v>-0.39631756173038574</c:v>
                </c:pt>
                <c:pt idx="104">
                  <c:v>-0.40138691887451339</c:v>
                </c:pt>
                <c:pt idx="105">
                  <c:v>-0.40638024787801169</c:v>
                </c:pt>
                <c:pt idx="106">
                  <c:v>-0.41129974574120026</c:v>
                </c:pt>
                <c:pt idx="107">
                  <c:v>-0.41614752838476726</c:v>
                </c:pt>
                <c:pt idx="108">
                  <c:v>-0.42092563437063862</c:v>
                </c:pt>
                <c:pt idx="109">
                  <c:v>-0.42563602841989906</c:v>
                </c:pt>
                <c:pt idx="110">
                  <c:v>-0.43028060474056684</c:v>
                </c:pt>
                <c:pt idx="111">
                  <c:v>-0.43486119017710656</c:v>
                </c:pt>
                <c:pt idx="112">
                  <c:v>-0.43937954719272004</c:v>
                </c:pt>
                <c:pt idx="113">
                  <c:v>-0.44383737669468737</c:v>
                </c:pt>
                <c:pt idx="114">
                  <c:v>-0.44823632071230851</c:v>
                </c:pt>
                <c:pt idx="115">
                  <c:v>-0.45257796493634117</c:v>
                </c:pt>
                <c:pt idx="116">
                  <c:v>-0.45686384112822281</c:v>
                </c:pt>
                <c:pt idx="117">
                  <c:v>-0.46109542940679982</c:v>
                </c:pt>
                <c:pt idx="118">
                  <c:v>-0.4652741604197706</c:v>
                </c:pt>
                <c:pt idx="119">
                  <c:v>-0.4694014174065666</c:v>
                </c:pt>
                <c:pt idx="120">
                  <c:v>-0.47347853815895363</c:v>
                </c:pt>
                <c:pt idx="121">
                  <c:v>-0.47750681688521968</c:v>
                </c:pt>
                <c:pt idx="122">
                  <c:v>-0.48148750598343776</c:v>
                </c:pt>
                <c:pt idx="123">
                  <c:v>-0.48542181772893761</c:v>
                </c:pt>
                <c:pt idx="124">
                  <c:v>-0.48931092588078723</c:v>
                </c:pt>
                <c:pt idx="125">
                  <c:v>-0.49315596721178817</c:v>
                </c:pt>
                <c:pt idx="126">
                  <c:v>-0.49695804296619722</c:v>
                </c:pt>
                <c:pt idx="127">
                  <c:v>-0.50071822024912827</c:v>
                </c:pt>
                <c:pt idx="128">
                  <c:v>-0.50443753335134178</c:v>
                </c:pt>
                <c:pt idx="129">
                  <c:v>-0.50811698501290048</c:v>
                </c:pt>
                <c:pt idx="130">
                  <c:v>-0.51175754762895864</c:v>
                </c:pt>
                <c:pt idx="131">
                  <c:v>-0.51536016440075416</c:v>
                </c:pt>
                <c:pt idx="132">
                  <c:v>-0.51892575043468514</c:v>
                </c:pt>
                <c:pt idx="133">
                  <c:v>-0.52245519379218752</c:v>
                </c:pt>
                <c:pt idx="134">
                  <c:v>-0.52594935649295893</c:v>
                </c:pt>
                <c:pt idx="135">
                  <c:v>-0.52940907547393667</c:v>
                </c:pt>
                <c:pt idx="136">
                  <c:v>-0.53283516350628535</c:v>
                </c:pt>
                <c:pt idx="137">
                  <c:v>-0.53622841007252731</c:v>
                </c:pt>
                <c:pt idx="138">
                  <c:v>-0.53958958220582076</c:v>
                </c:pt>
                <c:pt idx="139">
                  <c:v>-0.54291942529328197</c:v>
                </c:pt>
                <c:pt idx="140">
                  <c:v>-0.54621866384513185</c:v>
                </c:pt>
                <c:pt idx="141">
                  <c:v>-0.54948800223135597</c:v>
                </c:pt>
                <c:pt idx="142">
                  <c:v>-0.55272812538746574</c:v>
                </c:pt>
                <c:pt idx="143">
                  <c:v>-0.55593969949086408</c:v>
                </c:pt>
                <c:pt idx="144">
                  <c:v>-0.55912337260923395</c:v>
                </c:pt>
                <c:pt idx="145">
                  <c:v>-0.56227977532229301</c:v>
                </c:pt>
                <c:pt idx="146">
                  <c:v>-0.5654095213181789</c:v>
                </c:pt>
                <c:pt idx="147">
                  <c:v>-0.56851320796567051</c:v>
                </c:pt>
                <c:pt idx="148">
                  <c:v>-0.57159141686337578</c:v>
                </c:pt>
                <c:pt idx="149">
                  <c:v>-0.57464471436696363</c:v>
                </c:pt>
                <c:pt idx="150">
                  <c:v>-0.57767365209545707</c:v>
                </c:pt>
                <c:pt idx="151">
                  <c:v>-0.58067876741755231</c:v>
                </c:pt>
                <c:pt idx="152">
                  <c:v>-0.5836605839188771</c:v>
                </c:pt>
                <c:pt idx="153">
                  <c:v>-0.58661961185105582</c:v>
                </c:pt>
                <c:pt idx="154">
                  <c:v>-0.58955634856340133</c:v>
                </c:pt>
                <c:pt idx="155">
                  <c:v>-0.59247127891801599</c:v>
                </c:pt>
                <c:pt idx="156">
                  <c:v>-0.59536487568903829</c:v>
                </c:pt>
                <c:pt idx="157">
                  <c:v>-0.59823759994674042</c:v>
                </c:pt>
                <c:pt idx="158">
                  <c:v>-0.60108990142714325</c:v>
                </c:pt>
                <c:pt idx="159">
                  <c:v>-0.60392221888777964</c:v>
                </c:pt>
                <c:pt idx="160">
                  <c:v>-0.60673498045021268</c:v>
                </c:pt>
                <c:pt idx="161">
                  <c:v>-0.60952860392987951</c:v>
                </c:pt>
                <c:pt idx="162">
                  <c:v>-0.6123034971538025</c:v>
                </c:pt>
                <c:pt idx="163">
                  <c:v>-0.61506005826669063</c:v>
                </c:pt>
                <c:pt idx="164">
                  <c:v>-0.61779867602592031</c:v>
                </c:pt>
                <c:pt idx="165">
                  <c:v>-0.62051973008586458</c:v>
                </c:pt>
                <c:pt idx="166">
                  <c:v>-0.62322359127201921</c:v>
                </c:pt>
                <c:pt idx="167">
                  <c:v>-0.62591062184535062</c:v>
                </c:pt>
                <c:pt idx="168">
                  <c:v>-0.62858117575726813</c:v>
                </c:pt>
                <c:pt idx="169">
                  <c:v>-0.63123559889560954</c:v>
                </c:pt>
                <c:pt idx="170">
                  <c:v>-0.63387422932200854</c:v>
                </c:pt>
                <c:pt idx="171">
                  <c:v>-0.63649739750098999</c:v>
                </c:pt>
                <c:pt idx="172">
                  <c:v>-0.63910542652113445</c:v>
                </c:pt>
                <c:pt idx="173">
                  <c:v>-0.64169863230862667</c:v>
                </c:pt>
                <c:pt idx="174">
                  <c:v>-0.64427732383349245</c:v>
                </c:pt>
                <c:pt idx="175">
                  <c:v>-0.64684180330881957</c:v>
                </c:pt>
                <c:pt idx="176">
                  <c:v>-0.64939236638323339</c:v>
                </c:pt>
                <c:pt idx="177">
                  <c:v>-0.6519293023268995</c:v>
                </c:pt>
                <c:pt idx="178">
                  <c:v>-0.65445289421130082</c:v>
                </c:pt>
                <c:pt idx="179">
                  <c:v>-0.65696341908303479</c:v>
                </c:pt>
                <c:pt idx="180">
                  <c:v>-0.65946114813186218</c:v>
                </c:pt>
                <c:pt idx="181">
                  <c:v>-0.66194634685322562</c:v>
                </c:pt>
                <c:pt idx="182">
                  <c:v>-0.66441927520545241</c:v>
                </c:pt>
                <c:pt idx="183">
                  <c:v>-0.66688018776184355</c:v>
                </c:pt>
                <c:pt idx="184">
                  <c:v>-0.66932933385784155</c:v>
                </c:pt>
                <c:pt idx="185">
                  <c:v>-0.67176695773346173</c:v>
                </c:pt>
                <c:pt idx="186">
                  <c:v>-0.6741932986711684</c:v>
                </c:pt>
                <c:pt idx="187">
                  <c:v>-0.67660859112935945</c:v>
                </c:pt>
                <c:pt idx="188">
                  <c:v>-0.67901306487162749</c:v>
                </c:pt>
                <c:pt idx="189">
                  <c:v>-0.68140694509195054</c:v>
                </c:pt>
                <c:pt idx="190">
                  <c:v>-0.68379045253596238</c:v>
                </c:pt>
                <c:pt idx="191">
                  <c:v>-0.68616380361844442</c:v>
                </c:pt>
                <c:pt idx="192">
                  <c:v>-0.68852721053717925</c:v>
                </c:pt>
                <c:pt idx="193">
                  <c:v>-0.69088088138329262</c:v>
                </c:pt>
                <c:pt idx="194">
                  <c:v>-0.69322502024821442</c:v>
                </c:pt>
                <c:pt idx="195">
                  <c:v>-0.69555982732737787</c:v>
                </c:pt>
                <c:pt idx="196">
                  <c:v>-0.69788549902077057</c:v>
                </c:pt>
                <c:pt idx="197">
                  <c:v>-0.70020222803045362</c:v>
                </c:pt>
                <c:pt idx="198">
                  <c:v>-0.70251020345515192</c:v>
                </c:pt>
                <c:pt idx="199">
                  <c:v>-0.70480961088201788</c:v>
                </c:pt>
                <c:pt idx="200">
                  <c:v>-0.70710063247567123</c:v>
                </c:pt>
                <c:pt idx="201">
                  <c:v>-0.70938344706460499</c:v>
                </c:pt>
                <c:pt idx="202">
                  <c:v>-0.71165823022504937</c:v>
                </c:pt>
                <c:pt idx="203">
                  <c:v>-0.7139251543623848</c:v>
                </c:pt>
                <c:pt idx="204">
                  <c:v>-0.71618438879018165</c:v>
                </c:pt>
                <c:pt idx="205">
                  <c:v>-0.71843609980695256</c:v>
                </c:pt>
                <c:pt idx="206">
                  <c:v>-0.72068045077069254</c:v>
                </c:pt>
                <c:pt idx="207">
                  <c:v>-0.72291760217128198</c:v>
                </c:pt>
                <c:pt idx="208">
                  <c:v>-0.72514771170082348</c:v>
                </c:pt>
                <c:pt idx="209">
                  <c:v>-0.7273709343219823</c:v>
                </c:pt>
                <c:pt idx="210">
                  <c:v>-0.72958742233439711</c:v>
                </c:pt>
                <c:pt idx="211">
                  <c:v>-0.7317973254392236</c:v>
                </c:pt>
                <c:pt idx="212">
                  <c:v>-0.73400079080187364</c:v>
                </c:pt>
                <c:pt idx="213">
                  <c:v>-0.736197963113009</c:v>
                </c:pt>
                <c:pt idx="214">
                  <c:v>-0.73838898464784442</c:v>
                </c:pt>
                <c:pt idx="215">
                  <c:v>-0.7405739953238194</c:v>
                </c:pt>
                <c:pt idx="216">
                  <c:v>-0.74275313275668686</c:v>
                </c:pt>
                <c:pt idx="217">
                  <c:v>-0.74492653231507178</c:v>
                </c:pt>
                <c:pt idx="218">
                  <c:v>-0.74709432717354984</c:v>
                </c:pt>
                <c:pt idx="219">
                  <c:v>-0.74925664836429018</c:v>
                </c:pt>
                <c:pt idx="220">
                  <c:v>-0.75141362482731178</c:v>
                </c:pt>
                <c:pt idx="221">
                  <c:v>-0.7535653834593935</c:v>
                </c:pt>
                <c:pt idx="222">
                  <c:v>-0.75571204916168289</c:v>
                </c:pt>
                <c:pt idx="223">
                  <c:v>-0.75785374488604373</c:v>
                </c:pt>
                <c:pt idx="224">
                  <c:v>-0.75999059168018057</c:v>
                </c:pt>
                <c:pt idx="225">
                  <c:v>-0.76212270873158106</c:v>
                </c:pt>
                <c:pt idx="226">
                  <c:v>-0.76425021341030797</c:v>
                </c:pt>
                <c:pt idx="227">
                  <c:v>-0.76637322131068275</c:v>
                </c:pt>
                <c:pt idx="228">
                  <c:v>-0.76849184629188783</c:v>
                </c:pt>
                <c:pt idx="229">
                  <c:v>-0.77060620051752626</c:v>
                </c:pt>
                <c:pt idx="230">
                  <c:v>-0.77271639449416685</c:v>
                </c:pt>
                <c:pt idx="231">
                  <c:v>-0.77482253710890736</c:v>
                </c:pt>
                <c:pt idx="232">
                  <c:v>-0.77692473566598519</c:v>
                </c:pt>
                <c:pt idx="233">
                  <c:v>-0.77902309592246244</c:v>
                </c:pt>
                <c:pt idx="234">
                  <c:v>-0.78111772212301589</c:v>
                </c:pt>
                <c:pt idx="235">
                  <c:v>-0.78320871703385697</c:v>
                </c:pt>
                <c:pt idx="236">
                  <c:v>-0.78529618197580664</c:v>
                </c:pt>
                <c:pt idx="237">
                  <c:v>-0.78738021685655268</c:v>
                </c:pt>
                <c:pt idx="238">
                  <c:v>-0.78946092020211067</c:v>
                </c:pt>
                <c:pt idx="239">
                  <c:v>-0.79153838918751451</c:v>
                </c:pt>
                <c:pt idx="240">
                  <c:v>-0.79361271966675762</c:v>
                </c:pt>
                <c:pt idx="241">
                  <c:v>-0.79568400620200563</c:v>
                </c:pt>
                <c:pt idx="242">
                  <c:v>-0.79775234209210555</c:v>
                </c:pt>
                <c:pt idx="243">
                  <c:v>-0.79981781940040597</c:v>
                </c:pt>
                <c:pt idx="244">
                  <c:v>-0.80188052898191442</c:v>
                </c:pt>
                <c:pt idx="245">
                  <c:v>-0.80394056050980545</c:v>
                </c:pt>
                <c:pt idx="246">
                  <c:v>-0.80599800250130094</c:v>
                </c:pt>
                <c:pt idx="247">
                  <c:v>-0.80805294234294012</c:v>
                </c:pt>
                <c:pt idx="248">
                  <c:v>-0.81010546631525671</c:v>
                </c:pt>
                <c:pt idx="249">
                  <c:v>-0.81215565961687841</c:v>
                </c:pt>
                <c:pt idx="250">
                  <c:v>-0.81420360638806666</c:v>
                </c:pt>
                <c:pt idx="251">
                  <c:v>-0.81624938973371275</c:v>
                </c:pt>
                <c:pt idx="252">
                  <c:v>-0.81829309174580267</c:v>
                </c:pt>
                <c:pt idx="253">
                  <c:v>-0.82033479352536909</c:v>
                </c:pt>
                <c:pt idx="254">
                  <c:v>-0.82237457520394197</c:v>
                </c:pt>
                <c:pt idx="255">
                  <c:v>-0.82441251596451326</c:v>
                </c:pt>
                <c:pt idx="256">
                  <c:v>-0.82644869406202848</c:v>
                </c:pt>
                <c:pt idx="257">
                  <c:v>-0.82848318684341671</c:v>
                </c:pt>
                <c:pt idx="258">
                  <c:v>-0.83051607076717615</c:v>
                </c:pt>
                <c:pt idx="259">
                  <c:v>-0.83254742142252158</c:v>
                </c:pt>
                <c:pt idx="260">
                  <c:v>-0.83457731354810838</c:v>
                </c:pt>
                <c:pt idx="261">
                  <c:v>-0.83660582105034786</c:v>
                </c:pt>
                <c:pt idx="262">
                  <c:v>-0.8386330170213161</c:v>
                </c:pt>
                <c:pt idx="263">
                  <c:v>-0.84065897375627907</c:v>
                </c:pt>
                <c:pt idx="264">
                  <c:v>-0.84268376277083268</c:v>
                </c:pt>
                <c:pt idx="265">
                  <c:v>-0.84470745481767662</c:v>
                </c:pt>
                <c:pt idx="266">
                  <c:v>-0.84673011990302716</c:v>
                </c:pt>
                <c:pt idx="267">
                  <c:v>-0.84875182730268039</c:v>
                </c:pt>
                <c:pt idx="268">
                  <c:v>-0.85077264557773502</c:v>
                </c:pt>
                <c:pt idx="269">
                  <c:v>-0.85279264258998166</c:v>
                </c:pt>
                <c:pt idx="270">
                  <c:v>-0.85481188551697196</c:v>
                </c:pt>
                <c:pt idx="271">
                  <c:v>-0.85683044086677029</c:v>
                </c:pt>
                <c:pt idx="272">
                  <c:v>-0.85884837449240115</c:v>
                </c:pt>
                <c:pt idx="273">
                  <c:v>-0.86086575160599654</c:v>
                </c:pt>
                <c:pt idx="274">
                  <c:v>-0.86288263679265431</c:v>
                </c:pt>
                <c:pt idx="275">
                  <c:v>-0.8648990940240131</c:v>
                </c:pt>
                <c:pt idx="276">
                  <c:v>-0.86691518667155043</c:v>
                </c:pt>
                <c:pt idx="277">
                  <c:v>-0.86893097751961368</c:v>
                </c:pt>
                <c:pt idx="278">
                  <c:v>-0.87094652877818901</c:v>
                </c:pt>
                <c:pt idx="279">
                  <c:v>-0.87296190209541469</c:v>
                </c:pt>
                <c:pt idx="280">
                  <c:v>-0.87497715856984704</c:v>
                </c:pt>
                <c:pt idx="281">
                  <c:v>-0.87699235876248272</c:v>
                </c:pt>
                <c:pt idx="282">
                  <c:v>-0.8790075627085483</c:v>
                </c:pt>
                <c:pt idx="283">
                  <c:v>-0.88102282992905567</c:v>
                </c:pt>
                <c:pt idx="284">
                  <c:v>-0.88303821944213601</c:v>
                </c:pt>
                <c:pt idx="285">
                  <c:v>-0.88505378977415727</c:v>
                </c:pt>
                <c:pt idx="286">
                  <c:v>-0.88706959897062221</c:v>
                </c:pt>
                <c:pt idx="287">
                  <c:v>-0.88908570460686787</c:v>
                </c:pt>
                <c:pt idx="288">
                  <c:v>-0.89110216379855456</c:v>
                </c:pt>
                <c:pt idx="289">
                  <c:v>-0.89311903321196284</c:v>
                </c:pt>
                <c:pt idx="290">
                  <c:v>-0.89513636907409666</c:v>
                </c:pt>
                <c:pt idx="291">
                  <c:v>-0.89715422718259796</c:v>
                </c:pt>
                <c:pt idx="292">
                  <c:v>-0.89917266291548104</c:v>
                </c:pt>
                <c:pt idx="293">
                  <c:v>-0.9011917312406853</c:v>
                </c:pt>
                <c:pt idx="294">
                  <c:v>-0.90321148672545792</c:v>
                </c:pt>
                <c:pt idx="295">
                  <c:v>-0.90523198354556433</c:v>
                </c:pt>
                <c:pt idx="296">
                  <c:v>-0.90725327549433388</c:v>
                </c:pt>
                <c:pt idx="297">
                  <c:v>-0.90927541599154604</c:v>
                </c:pt>
                <c:pt idx="298">
                  <c:v>-0.91129845809215582</c:v>
                </c:pt>
                <c:pt idx="299">
                  <c:v>-0.91332245449487137</c:v>
                </c:pt>
                <c:pt idx="300">
                  <c:v>-0.91534745755057534</c:v>
                </c:pt>
                <c:pt idx="301">
                  <c:v>-0.91737351927060684</c:v>
                </c:pt>
                <c:pt idx="302">
                  <c:v>-0.9194006913348951</c:v>
                </c:pt>
                <c:pt idx="303">
                  <c:v>-0.92142902509996039</c:v>
                </c:pt>
                <c:pt idx="304">
                  <c:v>-0.92345857160677458</c:v>
                </c:pt>
                <c:pt idx="305">
                  <c:v>-0.92548938158849103</c:v>
                </c:pt>
                <c:pt idx="306">
                  <c:v>-0.92752150547804824</c:v>
                </c:pt>
                <c:pt idx="307">
                  <c:v>-0.9295549934156444</c:v>
                </c:pt>
                <c:pt idx="308">
                  <c:v>-0.93158989525609059</c:v>
                </c:pt>
                <c:pt idx="309">
                  <c:v>-0.93362626057604459</c:v>
                </c:pt>
                <c:pt idx="310">
                  <c:v>-0.93566413868112808</c:v>
                </c:pt>
                <c:pt idx="311">
                  <c:v>-0.9377035786129303</c:v>
                </c:pt>
                <c:pt idx="312">
                  <c:v>-0.9397446291558984</c:v>
                </c:pt>
                <c:pt idx="313">
                  <c:v>-0.94178733884412313</c:v>
                </c:pt>
                <c:pt idx="314">
                  <c:v>-0.94383175596801605</c:v>
                </c:pt>
                <c:pt idx="315">
                  <c:v>-0.94587792858088404</c:v>
                </c:pt>
                <c:pt idx="316">
                  <c:v>-0.94792590450540404</c:v>
                </c:pt>
                <c:pt idx="317">
                  <c:v>-0.94997573133999924</c:v>
                </c:pt>
                <c:pt idx="318">
                  <c:v>-0.95202745646512033</c:v>
                </c:pt>
                <c:pt idx="319">
                  <c:v>-0.95408112704943004</c:v>
                </c:pt>
                <c:pt idx="320">
                  <c:v>-0.95613679005590213</c:v>
                </c:pt>
                <c:pt idx="321">
                  <c:v>-0.95819449224782671</c:v>
                </c:pt>
                <c:pt idx="322">
                  <c:v>-0.96025428019473025</c:v>
                </c:pt>
                <c:pt idx="323">
                  <c:v>-0.96231620027821363</c:v>
                </c:pt>
                <c:pt idx="324">
                  <c:v>-0.9643802986977017</c:v>
                </c:pt>
                <c:pt idx="325">
                  <c:v>-0.96644662147612037</c:v>
                </c:pt>
                <c:pt idx="326">
                  <c:v>-0.96851521446548772</c:v>
                </c:pt>
                <c:pt idx="327">
                  <c:v>-0.97058612335243355</c:v>
                </c:pt>
                <c:pt idx="328">
                  <c:v>-0.97265939366364262</c:v>
                </c:pt>
                <c:pt idx="329">
                  <c:v>-0.97473507077122323</c:v>
                </c:pt>
                <c:pt idx="330">
                  <c:v>-0.97681319989801041</c:v>
                </c:pt>
                <c:pt idx="331">
                  <c:v>-0.97889382612279197</c:v>
                </c:pt>
                <c:pt idx="332">
                  <c:v>-0.98097699438547481</c:v>
                </c:pt>
                <c:pt idx="333">
                  <c:v>-0.9830627494921802</c:v>
                </c:pt>
                <c:pt idx="334">
                  <c:v>-0.98515113612027672</c:v>
                </c:pt>
                <c:pt idx="335">
                  <c:v>-0.98724219882335296</c:v>
                </c:pt>
                <c:pt idx="336">
                  <c:v>-0.9893359820361235</c:v>
                </c:pt>
                <c:pt idx="337">
                  <c:v>-0.991432530079283</c:v>
                </c:pt>
                <c:pt idx="338">
                  <c:v>-0.99353188716429575</c:v>
                </c:pt>
                <c:pt idx="339">
                  <c:v>-0.99563409739813347</c:v>
                </c:pt>
                <c:pt idx="340">
                  <c:v>-0.99773920478795664</c:v>
                </c:pt>
                <c:pt idx="341">
                  <c:v>-0.9998472532457402</c:v>
                </c:pt>
                <c:pt idx="342">
                  <c:v>-1.0019582865928529</c:v>
                </c:pt>
                <c:pt idx="343">
                  <c:v>-1.0040723485645791</c:v>
                </c:pt>
                <c:pt idx="344">
                  <c:v>-1.0061894828145959</c:v>
                </c:pt>
                <c:pt idx="345">
                  <c:v>-1.0083097329194004</c:v>
                </c:pt>
                <c:pt idx="346">
                  <c:v>-1.010433142382692</c:v>
                </c:pt>
                <c:pt idx="347">
                  <c:v>-1.0125597546397058</c:v>
                </c:pt>
                <c:pt idx="348">
                  <c:v>-1.0146896130615048</c:v>
                </c:pt>
                <c:pt idx="349">
                  <c:v>-1.016822760959228</c:v>
                </c:pt>
                <c:pt idx="350">
                  <c:v>-1.0189592415882969</c:v>
                </c:pt>
                <c:pt idx="351">
                  <c:v>-1.02109909815258</c:v>
                </c:pt>
                <c:pt idx="352">
                  <c:v>-1.023242373808521</c:v>
                </c:pt>
                <c:pt idx="353">
                  <c:v>-1.0253891116692233</c:v>
                </c:pt>
                <c:pt idx="354">
                  <c:v>-1.0275393548085034</c:v>
                </c:pt>
                <c:pt idx="355">
                  <c:v>-1.0296931462649026</c:v>
                </c:pt>
                <c:pt idx="356">
                  <c:v>-1.0318505290456672</c:v>
                </c:pt>
                <c:pt idx="357">
                  <c:v>-1.034011546130692</c:v>
                </c:pt>
                <c:pt idx="358">
                  <c:v>-1.0361762404764328</c:v>
                </c:pt>
                <c:pt idx="359">
                  <c:v>-1.0383446550197857</c:v>
                </c:pt>
                <c:pt idx="360">
                  <c:v>-1.0405168326819343</c:v>
                </c:pt>
                <c:pt idx="361">
                  <c:v>-1.0426928163721694</c:v>
                </c:pt>
                <c:pt idx="362">
                  <c:v>-1.0448726489916764</c:v>
                </c:pt>
                <c:pt idx="363">
                  <c:v>-1.047056373437296</c:v>
                </c:pt>
                <c:pt idx="364">
                  <c:v>-1.0492440326052588</c:v>
                </c:pt>
                <c:pt idx="365">
                  <c:v>-1.0514356693948892</c:v>
                </c:pt>
                <c:pt idx="366">
                  <c:v>-1.0536313267122903</c:v>
                </c:pt>
                <c:pt idx="367">
                  <c:v>-1.0558310474739965</c:v>
                </c:pt>
                <c:pt idx="368">
                  <c:v>-1.0580348746106081</c:v>
                </c:pt>
                <c:pt idx="369">
                  <c:v>-1.0602428510704007</c:v>
                </c:pt>
                <c:pt idx="370">
                  <c:v>-1.0624550198229119</c:v>
                </c:pt>
                <c:pt idx="371">
                  <c:v>-1.0646714238625083</c:v>
                </c:pt>
                <c:pt idx="372">
                  <c:v>-1.0668921062119299</c:v>
                </c:pt>
                <c:pt idx="373">
                  <c:v>-1.0691171099258159</c:v>
                </c:pt>
                <c:pt idx="374">
                  <c:v>-1.0713464780942128</c:v>
                </c:pt>
                <c:pt idx="375">
                  <c:v>-1.0735802538460606</c:v>
                </c:pt>
                <c:pt idx="376">
                  <c:v>-1.0758184803526674</c:v>
                </c:pt>
                <c:pt idx="377">
                  <c:v>-1.078061200831159</c:v>
                </c:pt>
                <c:pt idx="378">
                  <c:v>-1.0803084585479228</c:v>
                </c:pt>
                <c:pt idx="379">
                  <c:v>-1.0825602968220269</c:v>
                </c:pt>
                <c:pt idx="380">
                  <c:v>-1.0848167590286313</c:v>
                </c:pt>
                <c:pt idx="381">
                  <c:v>-1.0870778886023815</c:v>
                </c:pt>
                <c:pt idx="382">
                  <c:v>-1.0893437290407921</c:v>
                </c:pt>
                <c:pt idx="383">
                  <c:v>-1.0916143239076148</c:v>
                </c:pt>
                <c:pt idx="384">
                  <c:v>-1.0938897168361967</c:v>
                </c:pt>
                <c:pt idx="385">
                  <c:v>-1.0961699515328287</c:v>
                </c:pt>
                <c:pt idx="386">
                  <c:v>-1.0984550717800796</c:v>
                </c:pt>
                <c:pt idx="387">
                  <c:v>-1.1007451214401245</c:v>
                </c:pt>
                <c:pt idx="388">
                  <c:v>-1.1030401444580629</c:v>
                </c:pt>
                <c:pt idx="389">
                  <c:v>-1.1053401848652269</c:v>
                </c:pt>
                <c:pt idx="390">
                  <c:v>-1.107645286782484</c:v>
                </c:pt>
                <c:pt idx="391">
                  <c:v>-1.1099554944235308</c:v>
                </c:pt>
                <c:pt idx="392">
                  <c:v>-1.1122708520981823</c:v>
                </c:pt>
                <c:pt idx="393">
                  <c:v>-1.1145914042156528</c:v>
                </c:pt>
                <c:pt idx="394">
                  <c:v>-1.1169171952878338</c:v>
                </c:pt>
                <c:pt idx="395">
                  <c:v>-1.1192482699325668</c:v>
                </c:pt>
                <c:pt idx="396">
                  <c:v>-1.121584672876909</c:v>
                </c:pt>
                <c:pt idx="397">
                  <c:v>-1.1239264489604022</c:v>
                </c:pt>
                <c:pt idx="398">
                  <c:v>-1.1262736431383318</c:v>
                </c:pt>
                <c:pt idx="399">
                  <c:v>-1.128626300484987</c:v>
                </c:pt>
                <c:pt idx="400">
                  <c:v>-1.1309844661969208</c:v>
                </c:pt>
                <c:pt idx="401">
                  <c:v>-1.1333481855962042</c:v>
                </c:pt>
                <c:pt idx="402">
                  <c:v>-1.135717504133686</c:v>
                </c:pt>
                <c:pt idx="403">
                  <c:v>-1.1380924673922459</c:v>
                </c:pt>
                <c:pt idx="404">
                  <c:v>-1.1404731210900541</c:v>
                </c:pt>
                <c:pt idx="405">
                  <c:v>-1.1428595110838295</c:v>
                </c:pt>
                <c:pt idx="406">
                  <c:v>-1.1452516833720983</c:v>
                </c:pt>
                <c:pt idx="407">
                  <c:v>-1.1476496840984589</c:v>
                </c:pt>
                <c:pt idx="408">
                  <c:v>-1.1500535595548442</c:v>
                </c:pt>
                <c:pt idx="409">
                  <c:v>-1.1524633561847932</c:v>
                </c:pt>
                <c:pt idx="410">
                  <c:v>-1.1548791205867226</c:v>
                </c:pt>
                <c:pt idx="411">
                  <c:v>-1.1573008995172025</c:v>
                </c:pt>
                <c:pt idx="412">
                  <c:v>-1.1597287398942417</c:v>
                </c:pt>
                <c:pt idx="413">
                  <c:v>-1.1621626888005734</c:v>
                </c:pt>
                <c:pt idx="414">
                  <c:v>-1.1646027934869503</c:v>
                </c:pt>
                <c:pt idx="415">
                  <c:v>-1.1670491013754429</c:v>
                </c:pt>
                <c:pt idx="416">
                  <c:v>-1.169501660062753</c:v>
                </c:pt>
                <c:pt idx="417">
                  <c:v>-1.1719605173235226</c:v>
                </c:pt>
                <c:pt idx="418">
                  <c:v>-1.1744257211136626</c:v>
                </c:pt>
                <c:pt idx="419">
                  <c:v>-1.1768973195736847</c:v>
                </c:pt>
                <c:pt idx="420">
                  <c:v>-1.1793753610320414</c:v>
                </c:pt>
                <c:pt idx="421">
                  <c:v>-1.1818598940084815</c:v>
                </c:pt>
                <c:pt idx="422">
                  <c:v>-1.18435096721741</c:v>
                </c:pt>
                <c:pt idx="423">
                  <c:v>-1.1868486295712624</c:v>
                </c:pt>
                <c:pt idx="424">
                  <c:v>-1.1893529301838905</c:v>
                </c:pt>
                <c:pt idx="425">
                  <c:v>-1.1918639183739577</c:v>
                </c:pt>
                <c:pt idx="426">
                  <c:v>-1.1943816436683508</c:v>
                </c:pt>
                <c:pt idx="427">
                  <c:v>-1.1969061558055996</c:v>
                </c:pt>
                <c:pt idx="428">
                  <c:v>-1.1994375047393171</c:v>
                </c:pt>
                <c:pt idx="429">
                  <c:v>-1.2019757406416458</c:v>
                </c:pt>
                <c:pt idx="430">
                  <c:v>-1.2045209139067257</c:v>
                </c:pt>
                <c:pt idx="431">
                  <c:v>-1.2070730751541745</c:v>
                </c:pt>
                <c:pt idx="432">
                  <c:v>-1.2096322752325805</c:v>
                </c:pt>
                <c:pt idx="433">
                  <c:v>-1.2121985652230196</c:v>
                </c:pt>
                <c:pt idx="434">
                  <c:v>-1.2147719964425816</c:v>
                </c:pt>
                <c:pt idx="435">
                  <c:v>-1.2173526204479168</c:v>
                </c:pt>
                <c:pt idx="436">
                  <c:v>-1.2199404890388019</c:v>
                </c:pt>
                <c:pt idx="437">
                  <c:v>-1.2225356542617218</c:v>
                </c:pt>
                <c:pt idx="438">
                  <c:v>-1.2251381684134726</c:v>
                </c:pt>
                <c:pt idx="439">
                  <c:v>-1.2277480840447812</c:v>
                </c:pt>
                <c:pt idx="440">
                  <c:v>-1.230365453963949</c:v>
                </c:pt>
                <c:pt idx="441">
                  <c:v>-1.2329903312405135</c:v>
                </c:pt>
                <c:pt idx="442">
                  <c:v>-1.2356227692089301</c:v>
                </c:pt>
                <c:pt idx="443">
                  <c:v>-1.2382628214722813</c:v>
                </c:pt>
                <c:pt idx="444">
                  <c:v>-1.2409105419059985</c:v>
                </c:pt>
                <c:pt idx="445">
                  <c:v>-1.2435659846616178</c:v>
                </c:pt>
                <c:pt idx="446">
                  <c:v>-1.2462292041705509</c:v>
                </c:pt>
                <c:pt idx="447">
                  <c:v>-1.2489002551478834</c:v>
                </c:pt>
                <c:pt idx="448">
                  <c:v>-1.2515791925961977</c:v>
                </c:pt>
                <c:pt idx="449">
                  <c:v>-1.2542660718094201</c:v>
                </c:pt>
                <c:pt idx="450">
                  <c:v>-1.2569609483766957</c:v>
                </c:pt>
                <c:pt idx="451">
                  <c:v>-1.259663878186285</c:v>
                </c:pt>
                <c:pt idx="452">
                  <c:v>-1.2623749174294938</c:v>
                </c:pt>
                <c:pt idx="453">
                  <c:v>-1.2650941226046255</c:v>
                </c:pt>
                <c:pt idx="454">
                  <c:v>-1.2678215505209627</c:v>
                </c:pt>
                <c:pt idx="455">
                  <c:v>-1.2705572583027811</c:v>
                </c:pt>
                <c:pt idx="456">
                  <c:v>-1.2733013033933858</c:v>
                </c:pt>
                <c:pt idx="457">
                  <c:v>-1.2760537435591843</c:v>
                </c:pt>
                <c:pt idx="458">
                  <c:v>-1.2788146368937863</c:v>
                </c:pt>
                <c:pt idx="459">
                  <c:v>-1.2815840418221351</c:v>
                </c:pt>
                <c:pt idx="460">
                  <c:v>-1.2843620171046719</c:v>
                </c:pt>
                <c:pt idx="461">
                  <c:v>-1.2871486218415307</c:v>
                </c:pt>
                <c:pt idx="462">
                  <c:v>-1.28994391547677</c:v>
                </c:pt>
                <c:pt idx="463">
                  <c:v>-1.2927479578026317</c:v>
                </c:pt>
                <c:pt idx="464">
                  <c:v>-1.2955608089638422</c:v>
                </c:pt>
                <c:pt idx="465">
                  <c:v>-1.2983825294619407</c:v>
                </c:pt>
                <c:pt idx="466">
                  <c:v>-1.3012131801596505</c:v>
                </c:pt>
                <c:pt idx="467">
                  <c:v>-1.3040528222852807</c:v>
                </c:pt>
                <c:pt idx="468">
                  <c:v>-1.3069015174371676</c:v>
                </c:pt>
                <c:pt idx="469">
                  <c:v>-1.3097593275881558</c:v>
                </c:pt>
                <c:pt idx="470">
                  <c:v>-1.3126263150901103</c:v>
                </c:pt>
                <c:pt idx="471">
                  <c:v>-1.3155025426784794</c:v>
                </c:pt>
                <c:pt idx="472">
                  <c:v>-1.3183880734768847</c:v>
                </c:pt>
                <c:pt idx="473">
                  <c:v>-1.3212829710017611</c:v>
                </c:pt>
                <c:pt idx="474">
                  <c:v>-1.3241872991670334</c:v>
                </c:pt>
                <c:pt idx="475">
                  <c:v>-1.3271011222888347</c:v>
                </c:pt>
                <c:pt idx="476">
                  <c:v>-1.3300245050902719</c:v>
                </c:pt>
                <c:pt idx="477">
                  <c:v>-1.3329575127062272</c:v>
                </c:pt>
                <c:pt idx="478">
                  <c:v>-1.3359002106882116</c:v>
                </c:pt>
                <c:pt idx="479">
                  <c:v>-1.3388526650092567</c:v>
                </c:pt>
                <c:pt idx="480">
                  <c:v>-1.341814942068857</c:v>
                </c:pt>
                <c:pt idx="481">
                  <c:v>-1.3447871086979568</c:v>
                </c:pt>
                <c:pt idx="482">
                  <c:v>-1.347769232163982</c:v>
                </c:pt>
                <c:pt idx="483">
                  <c:v>-1.3507613801759255</c:v>
                </c:pt>
                <c:pt idx="484">
                  <c:v>-1.3537636208894761</c:v>
                </c:pt>
                <c:pt idx="485">
                  <c:v>-1.3567760229121992</c:v>
                </c:pt>
                <c:pt idx="486">
                  <c:v>-1.3597986553087704</c:v>
                </c:pt>
                <c:pt idx="487">
                  <c:v>-1.362831587606254</c:v>
                </c:pt>
                <c:pt idx="488">
                  <c:v>-1.365874889799441</c:v>
                </c:pt>
                <c:pt idx="489">
                  <c:v>-1.3689286323562364</c:v>
                </c:pt>
                <c:pt idx="490">
                  <c:v>-1.3719928862230995</c:v>
                </c:pt>
                <c:pt idx="491">
                  <c:v>-1.3750677228305412</c:v>
                </c:pt>
                <c:pt idx="492">
                  <c:v>-1.3781532140986772</c:v>
                </c:pt>
                <c:pt idx="493">
                  <c:v>-1.3812494324428353</c:v>
                </c:pt>
                <c:pt idx="494">
                  <c:v>-1.3843564507792223</c:v>
                </c:pt>
                <c:pt idx="495">
                  <c:v>-1.3874743425306497</c:v>
                </c:pt>
                <c:pt idx="496">
                  <c:v>-1.3906031816323159</c:v>
                </c:pt>
                <c:pt idx="497">
                  <c:v>-1.3937430425376525</c:v>
                </c:pt>
                <c:pt idx="498">
                  <c:v>-1.3968940002242309</c:v>
                </c:pt>
                <c:pt idx="499">
                  <c:v>-1.400056130199727</c:v>
                </c:pt>
                <c:pt idx="500">
                  <c:v>-1.4032295085079565</c:v>
                </c:pt>
                <c:pt idx="501">
                  <c:v>-1.4064142117349694</c:v>
                </c:pt>
                <c:pt idx="502">
                  <c:v>-1.4096103170152101</c:v>
                </c:pt>
                <c:pt idx="503">
                  <c:v>-1.4128179020377467</c:v>
                </c:pt>
                <c:pt idx="504">
                  <c:v>-1.416037045052565</c:v>
                </c:pt>
                <c:pt idx="505">
                  <c:v>-1.4192678248769317</c:v>
                </c:pt>
                <c:pt idx="506">
                  <c:v>-1.4225103209018295</c:v>
                </c:pt>
                <c:pt idx="507">
                  <c:v>-1.425764613098458</c:v>
                </c:pt>
                <c:pt idx="508">
                  <c:v>-1.4290307820248127</c:v>
                </c:pt>
                <c:pt idx="509">
                  <c:v>-1.4323089088323302</c:v>
                </c:pt>
                <c:pt idx="510">
                  <c:v>-1.4355990752726138</c:v>
                </c:pt>
                <c:pt idx="511">
                  <c:v>-1.4389013637042294</c:v>
                </c:pt>
                <c:pt idx="512">
                  <c:v>-1.4422158570995824</c:v>
                </c:pt>
                <c:pt idx="513">
                  <c:v>-1.4455426390518673</c:v>
                </c:pt>
                <c:pt idx="514">
                  <c:v>-1.4488817937821001</c:v>
                </c:pt>
                <c:pt idx="515">
                  <c:v>-1.4522334061462301</c:v>
                </c:pt>
                <c:pt idx="516">
                  <c:v>-1.4555975616423307</c:v>
                </c:pt>
                <c:pt idx="517">
                  <c:v>-1.4589743464178759</c:v>
                </c:pt>
                <c:pt idx="518">
                  <c:v>-1.4623638472771012</c:v>
                </c:pt>
                <c:pt idx="519">
                  <c:v>-1.4657661516884446</c:v>
                </c:pt>
                <c:pt idx="520">
                  <c:v>-1.4691813477920803</c:v>
                </c:pt>
                <c:pt idx="521">
                  <c:v>-1.4726095244075375</c:v>
                </c:pt>
                <c:pt idx="522">
                  <c:v>-1.4760507710414092</c:v>
                </c:pt>
                <c:pt idx="523">
                  <c:v>-1.4795051778951505</c:v>
                </c:pt>
                <c:pt idx="524">
                  <c:v>-1.4829728358729728</c:v>
                </c:pt>
                <c:pt idx="525">
                  <c:v>-1.4864538365898261</c:v>
                </c:pt>
                <c:pt idx="526">
                  <c:v>-1.4899482723794821</c:v>
                </c:pt>
                <c:pt idx="527">
                  <c:v>-1.4934562363027093</c:v>
                </c:pt>
                <c:pt idx="528">
                  <c:v>-1.4969778221555505</c:v>
                </c:pt>
                <c:pt idx="529">
                  <c:v>-1.5005131244776952</c:v>
                </c:pt>
                <c:pt idx="530">
                  <c:v>-1.5040622385609599</c:v>
                </c:pt>
                <c:pt idx="531">
                  <c:v>-1.507625260457863</c:v>
                </c:pt>
                <c:pt idx="532">
                  <c:v>-1.5112022869903117</c:v>
                </c:pt>
                <c:pt idx="533">
                  <c:v>-1.5147934157583907</c:v>
                </c:pt>
                <c:pt idx="534">
                  <c:v>-1.51839874514926</c:v>
                </c:pt>
                <c:pt idx="535">
                  <c:v>-1.5220183743461628</c:v>
                </c:pt>
                <c:pt idx="536">
                  <c:v>-1.5256524033375447</c:v>
                </c:pt>
                <c:pt idx="537">
                  <c:v>-1.5293009329262843</c:v>
                </c:pt>
                <c:pt idx="538">
                  <c:v>-1.5329640647390395</c:v>
                </c:pt>
                <c:pt idx="539">
                  <c:v>-1.5366419012357129</c:v>
                </c:pt>
                <c:pt idx="540">
                  <c:v>-1.5403345457190309</c:v>
                </c:pt>
                <c:pt idx="541">
                  <c:v>-1.5440421023442485</c:v>
                </c:pt>
                <c:pt idx="542">
                  <c:v>-1.5477646761289723</c:v>
                </c:pt>
                <c:pt idx="543">
                  <c:v>-1.5515023729631099</c:v>
                </c:pt>
                <c:pt idx="544">
                  <c:v>-1.5552552996189437</c:v>
                </c:pt>
                <c:pt idx="545">
                  <c:v>-1.559023563761337</c:v>
                </c:pt>
                <c:pt idx="546">
                  <c:v>-1.5628072739580652</c:v>
                </c:pt>
                <c:pt idx="547">
                  <c:v>-1.5666065396902831</c:v>
                </c:pt>
                <c:pt idx="548">
                  <c:v>-1.5704214713631266</c:v>
                </c:pt>
                <c:pt idx="549">
                  <c:v>-1.5742521803164475</c:v>
                </c:pt>
                <c:pt idx="550">
                  <c:v>-1.5780987788356928</c:v>
                </c:pt>
                <c:pt idx="551">
                  <c:v>-1.5819613801629193</c:v>
                </c:pt>
                <c:pt idx="552">
                  <c:v>-1.5858400985079577</c:v>
                </c:pt>
                <c:pt idx="553">
                  <c:v>-1.5897350490597166</c:v>
                </c:pt>
                <c:pt idx="554">
                  <c:v>-1.593646347997639</c:v>
                </c:pt>
                <c:pt idx="555">
                  <c:v>-1.5975741125033069</c:v>
                </c:pt>
                <c:pt idx="556">
                  <c:v>-1.6015184607721995</c:v>
                </c:pt>
                <c:pt idx="557">
                  <c:v>-1.6054795120256065</c:v>
                </c:pt>
                <c:pt idx="558">
                  <c:v>-1.6094573865227009</c:v>
                </c:pt>
                <c:pt idx="559">
                  <c:v>-1.6134522055727698</c:v>
                </c:pt>
                <c:pt idx="560">
                  <c:v>-1.6174640915476117</c:v>
                </c:pt>
                <c:pt idx="561">
                  <c:v>-1.6214931678940949</c:v>
                </c:pt>
                <c:pt idx="562">
                  <c:v>-1.6255395591468895</c:v>
                </c:pt>
                <c:pt idx="563">
                  <c:v>-1.6296033909413672</c:v>
                </c:pt>
                <c:pt idx="564">
                  <c:v>-1.6336847900266764</c:v>
                </c:pt>
                <c:pt idx="565">
                  <c:v>-1.6377838842789949</c:v>
                </c:pt>
                <c:pt idx="566">
                  <c:v>-1.6419008027149629</c:v>
                </c:pt>
                <c:pt idx="567">
                  <c:v>-1.6460356755052945</c:v>
                </c:pt>
                <c:pt idx="568">
                  <c:v>-1.6501886339885825</c:v>
                </c:pt>
                <c:pt idx="569">
                  <c:v>-1.6543598106852853</c:v>
                </c:pt>
                <c:pt idx="570">
                  <c:v>-1.6585493393119102</c:v>
                </c:pt>
                <c:pt idx="571">
                  <c:v>-1.6627573547953904</c:v>
                </c:pt>
                <c:pt idx="572">
                  <c:v>-1.6669839932876618</c:v>
                </c:pt>
                <c:pt idx="573">
                  <c:v>-1.6712293921804386</c:v>
                </c:pt>
                <c:pt idx="574">
                  <c:v>-1.6754936901201982</c:v>
                </c:pt>
                <c:pt idx="575">
                  <c:v>-1.6797770270233725</c:v>
                </c:pt>
                <c:pt idx="576">
                  <c:v>-1.6840795440917518</c:v>
                </c:pt>
                <c:pt idx="577">
                  <c:v>-1.688401383828104</c:v>
                </c:pt>
                <c:pt idx="578">
                  <c:v>-1.6927426900520171</c:v>
                </c:pt>
                <c:pt idx="579">
                  <c:v>-1.6971036079159567</c:v>
                </c:pt>
                <c:pt idx="580">
                  <c:v>-1.7014842839215598</c:v>
                </c:pt>
                <c:pt idx="581">
                  <c:v>-1.7058848659361521</c:v>
                </c:pt>
                <c:pt idx="582">
                  <c:v>-1.7103055032095049</c:v>
                </c:pt>
                <c:pt idx="583">
                  <c:v>-1.7147463463908281</c:v>
                </c:pt>
                <c:pt idx="584">
                  <c:v>-1.7192075475460065</c:v>
                </c:pt>
                <c:pt idx="585">
                  <c:v>-1.7236892601750848</c:v>
                </c:pt>
                <c:pt idx="586">
                  <c:v>-1.7281916392299994</c:v>
                </c:pt>
                <c:pt idx="587">
                  <c:v>-1.7327148411325717</c:v>
                </c:pt>
                <c:pt idx="588">
                  <c:v>-1.7372590237927559</c:v>
                </c:pt>
                <c:pt idx="589">
                  <c:v>-1.7418243466271559</c:v>
                </c:pt>
                <c:pt idx="590">
                  <c:v>-1.7464109705778059</c:v>
                </c:pt>
                <c:pt idx="591">
                  <c:v>-1.7510190581312319</c:v>
                </c:pt>
                <c:pt idx="592">
                  <c:v>-1.7556487733377824</c:v>
                </c:pt>
                <c:pt idx="593">
                  <c:v>-1.7603002818312516</c:v>
                </c:pt>
                <c:pt idx="594">
                  <c:v>-1.7649737508487833</c:v>
                </c:pt>
                <c:pt idx="595">
                  <c:v>-1.7696693492510733</c:v>
                </c:pt>
                <c:pt idx="596">
                  <c:v>-1.7743872475428679</c:v>
                </c:pt>
                <c:pt idx="597">
                  <c:v>-1.7791276178937663</c:v>
                </c:pt>
                <c:pt idx="598">
                  <c:v>-1.7838906341593308</c:v>
                </c:pt>
                <c:pt idx="599">
                  <c:v>-1.7886764719025148</c:v>
                </c:pt>
                <c:pt idx="600">
                  <c:v>-1.7934853084154063</c:v>
                </c:pt>
                <c:pt idx="601">
                  <c:v>-1.7983173227413018</c:v>
                </c:pt>
                <c:pt idx="602">
                  <c:v>-1.8031726956971073</c:v>
                </c:pt>
                <c:pt idx="603">
                  <c:v>-1.8080516098960819</c:v>
                </c:pt>
                <c:pt idx="604">
                  <c:v>-1.8129542497709172</c:v>
                </c:pt>
                <c:pt idx="605">
                  <c:v>-1.8178808015971744</c:v>
                </c:pt>
                <c:pt idx="606">
                  <c:v>-1.8228314535170722</c:v>
                </c:pt>
                <c:pt idx="607">
                  <c:v>-1.8278063955636381</c:v>
                </c:pt>
                <c:pt idx="608">
                  <c:v>-1.832805819685229</c:v>
                </c:pt>
                <c:pt idx="609">
                  <c:v>-1.8378299197704289</c:v>
                </c:pt>
                <c:pt idx="610">
                  <c:v>-1.8428788916733234</c:v>
                </c:pt>
                <c:pt idx="611">
                  <c:v>-1.8479529332391691</c:v>
                </c:pt>
                <c:pt idx="612">
                  <c:v>-1.8530522443304571</c:v>
                </c:pt>
                <c:pt idx="613">
                  <c:v>-1.8581770268533797</c:v>
                </c:pt>
                <c:pt idx="614">
                  <c:v>-1.8633274847847081</c:v>
                </c:pt>
                <c:pt idx="615">
                  <c:v>-1.8685038241990901</c:v>
                </c:pt>
                <c:pt idx="616">
                  <c:v>-1.8737062532967717</c:v>
                </c:pt>
                <c:pt idx="617">
                  <c:v>-1.8789349824317527</c:v>
                </c:pt>
                <c:pt idx="618">
                  <c:v>-1.8841902241403876</c:v>
                </c:pt>
                <c:pt idx="619">
                  <c:v>-1.8894721931704328</c:v>
                </c:pt>
                <c:pt idx="620">
                  <c:v>-1.8947811065105544</c:v>
                </c:pt>
                <c:pt idx="621">
                  <c:v>-1.9001171834203043</c:v>
                </c:pt>
                <c:pt idx="622">
                  <c:v>-1.9054806454605682</c:v>
                </c:pt>
                <c:pt idx="623">
                  <c:v>-1.9108717165245022</c:v>
                </c:pt>
                <c:pt idx="624">
                  <c:v>-1.916290622868962</c:v>
                </c:pt>
                <c:pt idx="625">
                  <c:v>-1.9217375931464347</c:v>
                </c:pt>
                <c:pt idx="626">
                  <c:v>-1.9272128584374837</c:v>
                </c:pt>
                <c:pt idx="627">
                  <c:v>-1.9327166522837171</c:v>
                </c:pt>
                <c:pt idx="628">
                  <c:v>-1.938249210721287</c:v>
                </c:pt>
                <c:pt idx="629">
                  <c:v>-1.9438107723149287</c:v>
                </c:pt>
                <c:pt idx="630">
                  <c:v>-1.9494015781925593</c:v>
                </c:pt>
                <c:pt idx="631">
                  <c:v>-1.955021872080434</c:v>
                </c:pt>
                <c:pt idx="632">
                  <c:v>-1.9606719003388768</c:v>
                </c:pt>
                <c:pt idx="633">
                  <c:v>-1.9663519119986026</c:v>
                </c:pt>
                <c:pt idx="634">
                  <c:v>-1.972062158797625</c:v>
                </c:pt>
                <c:pt idx="635">
                  <c:v>-1.9778028952187801</c:v>
                </c:pt>
                <c:pt idx="636">
                  <c:v>-1.9835743785278703</c:v>
                </c:pt>
                <c:pt idx="637">
                  <c:v>-1.9893768688124331</c:v>
                </c:pt>
                <c:pt idx="638">
                  <c:v>-1.9952106290211624</c:v>
                </c:pt>
                <c:pt idx="639">
                  <c:v>-2.0010759250039802</c:v>
                </c:pt>
                <c:pt idx="640">
                  <c:v>-2.0069730255527807</c:v>
                </c:pt>
                <c:pt idx="641">
                  <c:v>-2.0129022024428531</c:v>
                </c:pt>
                <c:pt idx="642">
                  <c:v>-2.0188637304750099</c:v>
                </c:pt>
                <c:pt idx="643">
                  <c:v>-2.0248578875184147</c:v>
                </c:pt>
                <c:pt idx="644">
                  <c:v>-2.030884954554137</c:v>
                </c:pt>
                <c:pt idx="645">
                  <c:v>-2.0369452157194523</c:v>
                </c:pt>
                <c:pt idx="646">
                  <c:v>-2.0430389583528825</c:v>
                </c:pt>
                <c:pt idx="647">
                  <c:v>-2.0491664730400143</c:v>
                </c:pt>
                <c:pt idx="648">
                  <c:v>-2.0553280536600993</c:v>
                </c:pt>
                <c:pt idx="649">
                  <c:v>-2.0615239974334489</c:v>
                </c:pt>
                <c:pt idx="650">
                  <c:v>-2.0677546049696494</c:v>
                </c:pt>
                <c:pt idx="651">
                  <c:v>-2.074020180316607</c:v>
                </c:pt>
                <c:pt idx="652">
                  <c:v>-2.0803210310104396</c:v>
                </c:pt>
                <c:pt idx="653">
                  <c:v>-2.086657468126238</c:v>
                </c:pt>
                <c:pt idx="654">
                  <c:v>-2.0930298063297066</c:v>
                </c:pt>
                <c:pt idx="655">
                  <c:v>-2.0994383639297087</c:v>
                </c:pt>
                <c:pt idx="656">
                  <c:v>-2.1058834629317293</c:v>
                </c:pt>
                <c:pt idx="657">
                  <c:v>-2.1123654290922835</c:v>
                </c:pt>
                <c:pt idx="658">
                  <c:v>-2.1188845919742691</c:v>
                </c:pt>
                <c:pt idx="659">
                  <c:v>-2.1254412850033124</c:v>
                </c:pt>
                <c:pt idx="660">
                  <c:v>-2.1320358455251029</c:v>
                </c:pt>
                <c:pt idx="661">
                  <c:v>-2.1386686148637515</c:v>
                </c:pt>
                <c:pt idx="662">
                  <c:v>-2.1453399383811864</c:v>
                </c:pt>
                <c:pt idx="663">
                  <c:v>-2.1520501655376116</c:v>
                </c:pt>
                <c:pt idx="664">
                  <c:v>-2.1587996499530533</c:v>
                </c:pt>
                <c:pt idx="665">
                  <c:v>-2.1655887494700066</c:v>
                </c:pt>
                <c:pt idx="666">
                  <c:v>-2.1724178262172171</c:v>
                </c:pt>
                <c:pt idx="667">
                  <c:v>-2.1792872466746194</c:v>
                </c:pt>
                <c:pt idx="668">
                  <c:v>-2.1861973817394484</c:v>
                </c:pt>
                <c:pt idx="669">
                  <c:v>-2.1931486067935597</c:v>
                </c:pt>
                <c:pt idx="670">
                  <c:v>-2.2001413017719758</c:v>
                </c:pt>
                <c:pt idx="671">
                  <c:v>-2.2071758512326936</c:v>
                </c:pt>
                <c:pt idx="672">
                  <c:v>-2.2142526444277677</c:v>
                </c:pt>
                <c:pt idx="673">
                  <c:v>-2.221372075375712</c:v>
                </c:pt>
                <c:pt idx="674">
                  <c:v>-2.2285345429352361</c:v>
                </c:pt>
                <c:pt idx="675">
                  <c:v>-2.2357404508803485</c:v>
                </c:pt>
                <c:pt idx="676">
                  <c:v>-2.2429902079768649</c:v>
                </c:pt>
                <c:pt idx="677">
                  <c:v>-2.2502842280603343</c:v>
                </c:pt>
                <c:pt idx="678">
                  <c:v>-2.2576229301154336</c:v>
                </c:pt>
                <c:pt idx="679">
                  <c:v>-2.2650067383568491</c:v>
                </c:pt>
                <c:pt idx="680">
                  <c:v>-2.2724360823116863</c:v>
                </c:pt>
                <c:pt idx="681">
                  <c:v>-2.2799113969034308</c:v>
                </c:pt>
                <c:pt idx="682">
                  <c:v>-2.2874331225375144</c:v>
                </c:pt>
                <c:pt idx="683">
                  <c:v>-2.2950017051884943</c:v>
                </c:pt>
                <c:pt idx="684">
                  <c:v>-2.3026175964889091</c:v>
                </c:pt>
                <c:pt idx="685">
                  <c:v>-2.3102812538198276</c:v>
                </c:pt>
                <c:pt idx="686">
                  <c:v>-2.3179931404031473</c:v>
                </c:pt>
                <c:pt idx="687">
                  <c:v>-2.3257537253956588</c:v>
                </c:pt>
                <c:pt idx="688">
                  <c:v>-2.3335634839849466</c:v>
                </c:pt>
                <c:pt idx="689">
                  <c:v>-2.3414228974871305</c:v>
                </c:pt>
                <c:pt idx="690">
                  <c:v>-2.3493324534465265</c:v>
                </c:pt>
                <c:pt idx="691">
                  <c:v>-2.3572926457372474</c:v>
                </c:pt>
                <c:pt idx="692">
                  <c:v>-2.3653039746667899</c:v>
                </c:pt>
                <c:pt idx="693">
                  <c:v>-2.3733669470816667</c:v>
                </c:pt>
                <c:pt idx="694">
                  <c:v>-2.381482076475117</c:v>
                </c:pt>
                <c:pt idx="695">
                  <c:v>-2.3896498830969475</c:v>
                </c:pt>
                <c:pt idx="696">
                  <c:v>-2.3978708940655578</c:v>
                </c:pt>
                <c:pt idx="697">
                  <c:v>-2.4061456434821933</c:v>
                </c:pt>
                <c:pt idx="698">
                  <c:v>-2.4144746725474877</c:v>
                </c:pt>
                <c:pt idx="699">
                  <c:v>-2.4228585296803362</c:v>
                </c:pt>
                <c:pt idx="700">
                  <c:v>-2.4312977706391674</c:v>
                </c:pt>
                <c:pt idx="701">
                  <c:v>-2.4397929586456546</c:v>
                </c:pt>
                <c:pt idx="702">
                  <c:v>-2.448344664510945</c:v>
                </c:pt>
                <c:pt idx="703">
                  <c:v>-2.4569534667644453</c:v>
                </c:pt>
                <c:pt idx="704">
                  <c:v>-2.4656199517852384</c:v>
                </c:pt>
                <c:pt idx="705">
                  <c:v>-2.4743447139361905</c:v>
                </c:pt>
                <c:pt idx="706">
                  <c:v>-2.4831283557008139</c:v>
                </c:pt>
                <c:pt idx="707">
                  <c:v>-2.4919714878229424</c:v>
                </c:pt>
                <c:pt idx="708">
                  <c:v>-2.5008747294493054</c:v>
                </c:pt>
                <c:pt idx="709">
                  <c:v>-2.5098387082750522</c:v>
                </c:pt>
                <c:pt idx="710">
                  <c:v>-2.5188640606923172</c:v>
                </c:pt>
                <c:pt idx="711">
                  <c:v>-2.5279514319418754</c:v>
                </c:pt>
                <c:pt idx="712">
                  <c:v>-2.5371014762679946</c:v>
                </c:pt>
                <c:pt idx="713">
                  <c:v>-2.5463148570765313</c:v>
                </c:pt>
                <c:pt idx="714">
                  <c:v>-2.5555922470963739</c:v>
                </c:pt>
                <c:pt idx="715">
                  <c:v>-2.5649343285443083</c:v>
                </c:pt>
                <c:pt idx="716">
                  <c:v>-2.5743417932933839</c:v>
                </c:pt>
                <c:pt idx="717">
                  <c:v>-2.5838153430448791</c:v>
                </c:pt>
                <c:pt idx="718">
                  <c:v>-2.5933556895039493</c:v>
                </c:pt>
                <c:pt idx="719">
                  <c:v>-2.6029635545590475</c:v>
                </c:pt>
                <c:pt idx="720">
                  <c:v>-2.6126396704652204</c:v>
                </c:pt>
                <c:pt idx="721">
                  <c:v>-2.6223847800313722</c:v>
                </c:pt>
                <c:pt idx="722">
                  <c:v>-2.6321996368115976</c:v>
                </c:pt>
                <c:pt idx="723">
                  <c:v>-2.6420850053006872</c:v>
                </c:pt>
                <c:pt idx="724">
                  <c:v>-2.6520416611339201</c:v>
                </c:pt>
                <c:pt idx="725">
                  <c:v>-2.6620703912912318</c:v>
                </c:pt>
                <c:pt idx="726">
                  <c:v>-2.6721719943059008</c:v>
                </c:pt>
                <c:pt idx="727">
                  <c:v>-2.6823472804778419</c:v>
                </c:pt>
                <c:pt idx="728">
                  <c:v>-2.6925970720916466</c:v>
                </c:pt>
                <c:pt idx="729">
                  <c:v>-2.7029222036394818</c:v>
                </c:pt>
                <c:pt idx="730">
                  <c:v>-2.7133235220489791</c:v>
                </c:pt>
                <c:pt idx="731">
                  <c:v>-2.7238018869162408</c:v>
                </c:pt>
                <c:pt idx="732">
                  <c:v>-2.7343581707441054</c:v>
                </c:pt>
                <c:pt idx="733">
                  <c:v>-2.7449932591858031</c:v>
                </c:pt>
                <c:pt idx="734">
                  <c:v>-2.7557080512941505</c:v>
                </c:pt>
                <c:pt idx="735">
                  <c:v>-2.766503459776426</c:v>
                </c:pt>
                <c:pt idx="736">
                  <c:v>-2.7773804112550859</c:v>
                </c:pt>
                <c:pt idx="737">
                  <c:v>-2.7883398465344671</c:v>
                </c:pt>
                <c:pt idx="738">
                  <c:v>-2.7993827208736466</c:v>
                </c:pt>
                <c:pt idx="739">
                  <c:v>-2.8105100042656206</c:v>
                </c:pt>
                <c:pt idx="740">
                  <c:v>-2.8217226817229761</c:v>
                </c:pt>
                <c:pt idx="741">
                  <c:v>-2.8330217535702311</c:v>
                </c:pt>
                <c:pt idx="742">
                  <c:v>-2.8444082357430167</c:v>
                </c:pt>
                <c:pt idx="743">
                  <c:v>-2.8558831600943191</c:v>
                </c:pt>
                <c:pt idx="744">
                  <c:v>-2.8674475747079247</c:v>
                </c:pt>
                <c:pt idx="745">
                  <c:v>-2.8791025442193252</c:v>
                </c:pt>
                <c:pt idx="746">
                  <c:v>-2.8908491501442461</c:v>
                </c:pt>
                <c:pt idx="747">
                  <c:v>-2.9026884912150321</c:v>
                </c:pt>
                <c:pt idx="748">
                  <c:v>-2.9146216837251058</c:v>
                </c:pt>
                <c:pt idx="749">
                  <c:v>-2.9266498618817267</c:v>
                </c:pt>
                <c:pt idx="750">
                  <c:v>-2.9387741781672765</c:v>
                </c:pt>
                <c:pt idx="751">
                  <c:v>-2.9509958037093273</c:v>
                </c:pt>
                <c:pt idx="752">
                  <c:v>-2.9633159286597333</c:v>
                </c:pt>
                <c:pt idx="753">
                  <c:v>-2.9757357625830028</c:v>
                </c:pt>
                <c:pt idx="754">
                  <c:v>-2.9882565348542194</c:v>
                </c:pt>
                <c:pt idx="755">
                  <c:v>-3.000879495066795</c:v>
                </c:pt>
                <c:pt idx="756">
                  <c:v>-3.0136059134503159</c:v>
                </c:pt>
                <c:pt idx="757">
                  <c:v>-3.0264370812988077</c:v>
                </c:pt>
                <c:pt idx="758">
                  <c:v>-3.0393743114096949</c:v>
                </c:pt>
                <c:pt idx="759">
                  <c:v>-3.0524189385337834</c:v>
                </c:pt>
                <c:pt idx="760">
                  <c:v>-3.0655723198365852</c:v>
                </c:pt>
                <c:pt idx="761">
                  <c:v>-3.0788358353713248</c:v>
                </c:pt>
                <c:pt idx="762">
                  <c:v>-3.0922108885639616</c:v>
                </c:pt>
                <c:pt idx="763">
                  <c:v>-3.1056989067106042</c:v>
                </c:pt>
                <c:pt idx="764">
                  <c:v>-3.1193013414876734</c:v>
                </c:pt>
                <c:pt idx="765">
                  <c:v>-3.1330196694752002</c:v>
                </c:pt>
                <c:pt idx="766">
                  <c:v>-3.146855392693662</c:v>
                </c:pt>
                <c:pt idx="767">
                  <c:v>-3.1608100391547587</c:v>
                </c:pt>
                <c:pt idx="768">
                  <c:v>-3.1748851634265498</c:v>
                </c:pt>
                <c:pt idx="769">
                  <c:v>-3.1890823472134087</c:v>
                </c:pt>
                <c:pt idx="770">
                  <c:v>-3.2034031999512296</c:v>
                </c:pt>
                <c:pt idx="771">
                  <c:v>-3.2178493594183721</c:v>
                </c:pt>
                <c:pt idx="772">
                  <c:v>-3.2324224923628169</c:v>
                </c:pt>
                <c:pt idx="773">
                  <c:v>-3.2471242951460568</c:v>
                </c:pt>
                <c:pt idx="774">
                  <c:v>-3.2619564944042181</c:v>
                </c:pt>
                <c:pt idx="775">
                  <c:v>-3.2769208477269816</c:v>
                </c:pt>
                <c:pt idx="776">
                  <c:v>-3.2920191443548483</c:v>
                </c:pt>
                <c:pt idx="777">
                  <c:v>-3.3072532058953321</c:v>
                </c:pt>
                <c:pt idx="778">
                  <c:v>-3.3226248870586872</c:v>
                </c:pt>
                <c:pt idx="779">
                  <c:v>-3.338136076413794</c:v>
                </c:pt>
                <c:pt idx="780">
                  <c:v>-3.3537886971648363</c:v>
                </c:pt>
                <c:pt idx="781">
                  <c:v>-3.369584707949469</c:v>
                </c:pt>
                <c:pt idx="782">
                  <c:v>-3.385526103659144</c:v>
                </c:pt>
                <c:pt idx="783">
                  <c:v>-3.401614916282333</c:v>
                </c:pt>
                <c:pt idx="784">
                  <c:v>-3.4178532157713928</c:v>
                </c:pt>
                <c:pt idx="785">
                  <c:v>-3.4342431109338469</c:v>
                </c:pt>
                <c:pt idx="786">
                  <c:v>-3.4507867503488838</c:v>
                </c:pt>
                <c:pt idx="787">
                  <c:v>-3.4674863233099318</c:v>
                </c:pt>
                <c:pt idx="788">
                  <c:v>-3.4843440607941467</c:v>
                </c:pt>
                <c:pt idx="789">
                  <c:v>-3.5013622364597463</c:v>
                </c:pt>
                <c:pt idx="790">
                  <c:v>-3.5185431676720973</c:v>
                </c:pt>
                <c:pt idx="791">
                  <c:v>-3.5358892165595628</c:v>
                </c:pt>
                <c:pt idx="792">
                  <c:v>-3.5534027911000821</c:v>
                </c:pt>
                <c:pt idx="793">
                  <c:v>-3.5710863462395608</c:v>
                </c:pt>
                <c:pt idx="794">
                  <c:v>-3.588942385043159</c:v>
                </c:pt>
                <c:pt idx="795">
                  <c:v>-3.6069734598805949</c:v>
                </c:pt>
                <c:pt idx="796">
                  <c:v>-3.6251821736466687</c:v>
                </c:pt>
                <c:pt idx="797">
                  <c:v>-3.6435711810182041</c:v>
                </c:pt>
                <c:pt idx="798">
                  <c:v>-3.6621431897487113</c:v>
                </c:pt>
                <c:pt idx="799">
                  <c:v>-3.6809009620020743</c:v>
                </c:pt>
                <c:pt idx="800">
                  <c:v>-3.6998473157266569</c:v>
                </c:pt>
                <c:pt idx="801">
                  <c:v>-3.7189851260712592</c:v>
                </c:pt>
                <c:pt idx="802">
                  <c:v>-3.7383173268444145</c:v>
                </c:pt>
                <c:pt idx="803">
                  <c:v>-3.7578469120185916</c:v>
                </c:pt>
                <c:pt idx="804">
                  <c:v>-3.7775769372809176</c:v>
                </c:pt>
                <c:pt idx="805">
                  <c:v>-3.7975105216321059</c:v>
                </c:pt>
                <c:pt idx="806">
                  <c:v>-3.81765084903535</c:v>
                </c:pt>
                <c:pt idx="807">
                  <c:v>-3.8380011701170194</c:v>
                </c:pt>
                <c:pt idx="808">
                  <c:v>-3.8585648039210558</c:v>
                </c:pt>
                <c:pt idx="809">
                  <c:v>-3.8793451397190672</c:v>
                </c:pt>
                <c:pt idx="810">
                  <c:v>-3.9003456388781781</c:v>
                </c:pt>
                <c:pt idx="811">
                  <c:v>-3.9215698367888372</c:v>
                </c:pt>
                <c:pt idx="812">
                  <c:v>-3.9430213448547815</c:v>
                </c:pt>
                <c:pt idx="813">
                  <c:v>-3.9647038525475562</c:v>
                </c:pt>
                <c:pt idx="814">
                  <c:v>-3.9866211295280252</c:v>
                </c:pt>
                <c:pt idx="815">
                  <c:v>-4.0087770278374366</c:v>
                </c:pt>
                <c:pt idx="816">
                  <c:v>-4.031175484160725</c:v>
                </c:pt>
                <c:pt idx="817">
                  <c:v>-4.053820522164834</c:v>
                </c:pt>
                <c:pt idx="818">
                  <c:v>-4.0767162549149853</c:v>
                </c:pt>
                <c:pt idx="819">
                  <c:v>-4.0998668873719391</c:v>
                </c:pt>
                <c:pt idx="820">
                  <c:v>-4.1232767189734307</c:v>
                </c:pt>
                <c:pt idx="821">
                  <c:v>-4.1469501463031149</c:v>
                </c:pt>
                <c:pt idx="822">
                  <c:v>-4.1708916658504878</c:v>
                </c:pt>
                <c:pt idx="823">
                  <c:v>-4.1951058768654477</c:v>
                </c:pt>
                <c:pt idx="824">
                  <c:v>-4.2195974843112767</c:v>
                </c:pt>
                <c:pt idx="825">
                  <c:v>-4.2443713019200393</c:v>
                </c:pt>
                <c:pt idx="826">
                  <c:v>-4.2694322553545732</c:v>
                </c:pt>
                <c:pt idx="827">
                  <c:v>-4.2947853854814113</c:v>
                </c:pt>
                <c:pt idx="828">
                  <c:v>-4.3204358517592283</c:v>
                </c:pt>
                <c:pt idx="829">
                  <c:v>-4.3463889357475871</c:v>
                </c:pt>
                <c:pt idx="830">
                  <c:v>-4.3726500447409906</c:v>
                </c:pt>
                <c:pt idx="831">
                  <c:v>-4.3992247155334976</c:v>
                </c:pt>
                <c:pt idx="832">
                  <c:v>-4.4261186183194203</c:v>
                </c:pt>
                <c:pt idx="833">
                  <c:v>-4.4533375607358394</c:v>
                </c:pt>
                <c:pt idx="834">
                  <c:v>-4.4808874920530517</c:v>
                </c:pt>
                <c:pt idx="835">
                  <c:v>-4.5087745075192336</c:v>
                </c:pt>
                <c:pt idx="836">
                  <c:v>-4.5370048528660334</c:v>
                </c:pt>
                <c:pt idx="837">
                  <c:v>-4.5655849289820711</c:v>
                </c:pt>
                <c:pt idx="838">
                  <c:v>-4.5945212967616893</c:v>
                </c:pt>
                <c:pt idx="839">
                  <c:v>-4.6238206821366816</c:v>
                </c:pt>
                <c:pt idx="840">
                  <c:v>-4.6534899812990957</c:v>
                </c:pt>
                <c:pt idx="841">
                  <c:v>-4.6835362661236308</c:v>
                </c:pt>
                <c:pt idx="842">
                  <c:v>-4.7139667897985928</c:v>
                </c:pt>
                <c:pt idx="843">
                  <c:v>-4.7447889926748159</c:v>
                </c:pt>
                <c:pt idx="844">
                  <c:v>-4.7760105083424689</c:v>
                </c:pt>
                <c:pt idx="845">
                  <c:v>-4.8076391699461629</c:v>
                </c:pt>
                <c:pt idx="846">
                  <c:v>-4.8396830167493441</c:v>
                </c:pt>
                <c:pt idx="847">
                  <c:v>-4.8721503009595111</c:v>
                </c:pt>
                <c:pt idx="848">
                  <c:v>-4.9050494948264589</c:v>
                </c:pt>
                <c:pt idx="849">
                  <c:v>-4.938389298026336</c:v>
                </c:pt>
                <c:pt idx="850">
                  <c:v>-4.9721786453450756</c:v>
                </c:pt>
                <c:pt idx="851">
                  <c:v>-5.0064267146754142</c:v>
                </c:pt>
                <c:pt idx="852">
                  <c:v>-5.0411429353425738</c:v>
                </c:pt>
                <c:pt idx="853">
                  <c:v>-5.0763369967744447</c:v>
                </c:pt>
                <c:pt idx="854">
                  <c:v>-5.1120188575330241</c:v>
                </c:pt>
                <c:pt idx="855">
                  <c:v>-5.14819875472479</c:v>
                </c:pt>
                <c:pt idx="856">
                  <c:v>-5.1848872138087163</c:v>
                </c:pt>
                <c:pt idx="857">
                  <c:v>-5.2220950588216368</c:v>
                </c:pt>
                <c:pt idx="858">
                  <c:v>-5.2598334230418251</c:v>
                </c:pt>
                <c:pt idx="859">
                  <c:v>-5.2981137601128987</c:v>
                </c:pt>
                <c:pt idx="860">
                  <c:v>-5.3369478556513483</c:v>
                </c:pt>
                <c:pt idx="861">
                  <c:v>-5.3763478393624391</c:v>
                </c:pt>
                <c:pt idx="862">
                  <c:v>-5.4163261976906298</c:v>
                </c:pt>
                <c:pt idx="863">
                  <c:v>-5.4568957870322334</c:v>
                </c:pt>
                <c:pt idx="864">
                  <c:v>-5.4980698475396919</c:v>
                </c:pt>
                <c:pt idx="865">
                  <c:v>-5.5398620175485913</c:v>
                </c:pt>
                <c:pt idx="866">
                  <c:v>-5.5822863486604586</c:v>
                </c:pt>
                <c:pt idx="867">
                  <c:v>-5.625357321516371</c:v>
                </c:pt>
                <c:pt idx="868">
                  <c:v>-5.6690898622985699</c:v>
                </c:pt>
                <c:pt idx="869">
                  <c:v>-5.7134993599996013</c:v>
                </c:pt>
                <c:pt idx="870">
                  <c:v>-5.7586016845009445</c:v>
                </c:pt>
                <c:pt idx="871">
                  <c:v>-5.8044132055057354</c:v>
                </c:pt>
                <c:pt idx="872">
                  <c:v>-5.8509508123730702</c:v>
                </c:pt>
                <c:pt idx="873">
                  <c:v>-5.8982319349043379</c:v>
                </c:pt>
                <c:pt idx="874">
                  <c:v>-5.9462745651353437</c:v>
                </c:pt>
                <c:pt idx="875">
                  <c:v>-5.9950972801914713</c:v>
                </c:pt>
                <c:pt idx="876">
                  <c:v>-6.0447192662668661</c:v>
                </c:pt>
                <c:pt idx="877">
                  <c:v>-6.095160343792644</c:v>
                </c:pt>
                <c:pt idx="878">
                  <c:v>-6.1464409938635649</c:v>
                </c:pt>
                <c:pt idx="879">
                  <c:v>-6.1985823859970841</c:v>
                </c:pt>
                <c:pt idx="880">
                  <c:v>-6.2516064073039157</c:v>
                </c:pt>
                <c:pt idx="881">
                  <c:v>-6.3055356931545088</c:v>
                </c:pt>
                <c:pt idx="882">
                  <c:v>-6.3603936594317192</c:v>
                </c:pt>
                <c:pt idx="883">
                  <c:v>-6.4162045364662399</c:v>
                </c:pt>
                <c:pt idx="884">
                  <c:v>-6.4729934047580908</c:v>
                </c:pt>
                <c:pt idx="885">
                  <c:v>-6.530786232594834</c:v>
                </c:pt>
                <c:pt idx="886">
                  <c:v>-6.5896099156850472</c:v>
                </c:pt>
                <c:pt idx="887">
                  <c:v>-6.6494923189341479</c:v>
                </c:pt>
                <c:pt idx="888">
                  <c:v>-6.7104623204988947</c:v>
                </c:pt>
                <c:pt idx="889">
                  <c:v>-6.7725498582669061</c:v>
                </c:pt>
                <c:pt idx="890">
                  <c:v>-6.8357859789183841</c:v>
                </c:pt>
                <c:pt idx="891">
                  <c:v>-6.9002028897389476</c:v>
                </c:pt>
                <c:pt idx="892">
                  <c:v>-6.9658340133652707</c:v>
                </c:pt>
                <c:pt idx="893">
                  <c:v>-7.0327140456590556</c:v>
                </c:pt>
                <c:pt idx="894">
                  <c:v>-7.1008790169198663</c:v>
                </c:pt>
                <c:pt idx="895">
                  <c:v>-7.170366356663779</c:v>
                </c:pt>
                <c:pt idx="896">
                  <c:v>-7.2412149622125224</c:v>
                </c:pt>
                <c:pt idx="897">
                  <c:v>-7.3134652713572317</c:v>
                </c:pt>
                <c:pt idx="898">
                  <c:v>-7.3871593393820225</c:v>
                </c:pt>
                <c:pt idx="899">
                  <c:v>-7.4623409207556701</c:v>
                </c:pt>
                <c:pt idx="900">
                  <c:v>-7.5390555558247732</c:v>
                </c:pt>
                <c:pt idx="901">
                  <c:v>-7.6173506628694705</c:v>
                </c:pt>
                <c:pt idx="902">
                  <c:v>-7.6972756359125487</c:v>
                </c:pt>
                <c:pt idx="903">
                  <c:v>-7.7788819487060152</c:v>
                </c:pt>
                <c:pt idx="904">
                  <c:v>-7.8622232653550972</c:v>
                </c:pt>
                <c:pt idx="905">
                  <c:v>-7.947355558079277</c:v>
                </c:pt>
                <c:pt idx="906">
                  <c:v>-8.0343372326533888</c:v>
                </c:pt>
                <c:pt idx="907">
                  <c:v>-8.1232292621195583</c:v>
                </c:pt>
                <c:pt idx="908">
                  <c:v>-8.2140953294132775</c:v>
                </c:pt>
                <c:pt idx="909">
                  <c:v>-8.3070019796047134</c:v>
                </c:pt>
                <c:pt idx="910">
                  <c:v>-8.4020187825200985</c:v>
                </c:pt>
                <c:pt idx="911">
                  <c:v>-8.4992185065784014</c:v>
                </c:pt>
                <c:pt idx="912">
                  <c:v>-8.5986773047561318</c:v>
                </c:pt>
                <c:pt idx="913">
                  <c:v>-8.7004749136790753</c:v>
                </c:pt>
                <c:pt idx="914">
                  <c:v>-8.8046948669348524</c:v>
                </c:pt>
                <c:pt idx="915">
                  <c:v>-8.9114247238056787</c:v>
                </c:pt>
                <c:pt idx="916">
                  <c:v>-9.0207563147376586</c:v>
                </c:pt>
                <c:pt idx="917">
                  <c:v>-9.1327860049929903</c:v>
                </c:pt>
                <c:pt idx="918">
                  <c:v>-9.2476149780760881</c:v>
                </c:pt>
                <c:pt idx="919">
                  <c:v>-9.3653495406857346</c:v>
                </c:pt>
                <c:pt idx="920">
                  <c:v>-9.4861014511250943</c:v>
                </c:pt>
                <c:pt idx="921">
                  <c:v>-9.60998827330212</c:v>
                </c:pt>
                <c:pt idx="922">
                  <c:v>-9.7371337586773077</c:v>
                </c:pt>
                <c:pt idx="923">
                  <c:v>-9.8676682587674005</c:v>
                </c:pt>
                <c:pt idx="924">
                  <c:v>-10.001729171095194</c:v>
                </c:pt>
                <c:pt idx="925">
                  <c:v>-10.139461421792822</c:v>
                </c:pt>
                <c:pt idx="926">
                  <c:v>-10.281017988421972</c:v>
                </c:pt>
                <c:pt idx="927">
                  <c:v>-10.426560466976097</c:v>
                </c:pt>
                <c:pt idx="928">
                  <c:v>-10.576259687482795</c:v>
                </c:pt>
                <c:pt idx="929">
                  <c:v>-10.730296383136839</c:v>
                </c:pt>
                <c:pt idx="930">
                  <c:v>-10.888861918474376</c:v>
                </c:pt>
                <c:pt idx="931">
                  <c:v>-11.052159082756722</c:v>
                </c:pt>
                <c:pt idx="932">
                  <c:v>-11.220402955479969</c:v>
                </c:pt>
                <c:pt idx="933">
                  <c:v>-11.393821851777801</c:v>
                </c:pt>
                <c:pt idx="934">
                  <c:v>-11.572658356455799</c:v>
                </c:pt>
                <c:pt idx="935">
                  <c:v>-11.757170456505216</c:v>
                </c:pt>
                <c:pt idx="936">
                  <c:v>-11.947632783214861</c:v>
                </c:pt>
                <c:pt idx="937">
                  <c:v>-12.144337976457908</c:v>
                </c:pt>
                <c:pt idx="938">
                  <c:v>-12.347598185407405</c:v>
                </c:pt>
                <c:pt idx="939">
                  <c:v>-12.557746721866886</c:v>
                </c:pt>
                <c:pt idx="940">
                  <c:v>-12.775139884635237</c:v>
                </c:pt>
                <c:pt idx="941">
                  <c:v>-13.000158975909901</c:v>
                </c:pt>
                <c:pt idx="942">
                  <c:v>-13.233212533733342</c:v>
                </c:pt>
                <c:pt idx="943">
                  <c:v>-13.47473880797912</c:v>
                </c:pt>
                <c:pt idx="944">
                  <c:v>-13.725208511447383</c:v>
                </c:pt>
                <c:pt idx="945">
                  <c:v>-13.98512788240544</c:v>
                </c:pt>
                <c:pt idx="946">
                  <c:v>-14.255042100498088</c:v>
                </c:pt>
                <c:pt idx="947">
                  <c:v>-14.535539104529901</c:v>
                </c:pt>
                <c:pt idx="948">
                  <c:v>-14.827253868381355</c:v>
                </c:pt>
                <c:pt idx="949">
                  <c:v>-15.130873200506528</c:v>
                </c:pt>
                <c:pt idx="950">
                  <c:v>-15.447141143367999</c:v>
                </c:pt>
                <c:pt idx="951">
                  <c:v>-15.77686506216131</c:v>
                </c:pt>
                <c:pt idx="952">
                  <c:v>-16.1209225277209</c:v>
                </c:pt>
                <c:pt idx="953">
                  <c:v>-16.480269117146797</c:v>
                </c:pt>
                <c:pt idx="954">
                  <c:v>-16.855947278153142</c:v>
                </c:pt>
                <c:pt idx="955">
                  <c:v>-17.249096430302561</c:v>
                </c:pt>
                <c:pt idx="956">
                  <c:v>-17.660964509274027</c:v>
                </c:pt>
                <c:pt idx="957">
                  <c:v>-18.092921200535738</c:v>
                </c:pt>
                <c:pt idx="958">
                  <c:v>-18.546473158068949</c:v>
                </c:pt>
                <c:pt idx="959">
                  <c:v>-19.023281564433947</c:v>
                </c:pt>
                <c:pt idx="960">
                  <c:v>-19.525182463477975</c:v>
                </c:pt>
                <c:pt idx="961">
                  <c:v>-20.054210390239092</c:v>
                </c:pt>
                <c:pt idx="962">
                  <c:v>-20.612625939167287</c:v>
                </c:pt>
                <c:pt idx="963">
                  <c:v>-21.202948058326392</c:v>
                </c:pt>
                <c:pt idx="964">
                  <c:v>-21.827992042572788</c:v>
                </c:pt>
                <c:pt idx="965">
                  <c:v>-22.490914434584777</c:v>
                </c:pt>
                <c:pt idx="966">
                  <c:v>-23.195266344835055</c:v>
                </c:pt>
                <c:pt idx="967">
                  <c:v>-23.945057091557434</c:v>
                </c:pt>
                <c:pt idx="968">
                  <c:v>-24.744830568707762</c:v>
                </c:pt>
                <c:pt idx="969">
                  <c:v>-25.599757414191728</c:v>
                </c:pt>
                <c:pt idx="970">
                  <c:v>-26.515746928427671</c:v>
                </c:pt>
                <c:pt idx="971">
                  <c:v>-27.499583863700995</c:v>
                </c:pt>
                <c:pt idx="972">
                  <c:v>-28.559096780292741</c:v>
                </c:pt>
                <c:pt idx="973">
                  <c:v>-29.703366808078929</c:v>
                </c:pt>
                <c:pt idx="974">
                  <c:v>-30.942988598529791</c:v>
                </c:pt>
                <c:pt idx="975">
                  <c:v>-32.290399351143591</c:v>
                </c:pt>
                <c:pt idx="976">
                  <c:v>-33.760297574362355</c:v>
                </c:pt>
                <c:pt idx="977">
                  <c:v>-35.370181492463551</c:v>
                </c:pt>
                <c:pt idx="978">
                  <c:v>-37.141048974519244</c:v>
                </c:pt>
                <c:pt idx="979">
                  <c:v>-39.098318493552938</c:v>
                </c:pt>
                <c:pt idx="980">
                  <c:v>-41.273057072081919</c:v>
                </c:pt>
                <c:pt idx="981">
                  <c:v>-43.703641620204095</c:v>
                </c:pt>
                <c:pt idx="982">
                  <c:v>-46.438043275467251</c:v>
                </c:pt>
                <c:pt idx="983">
                  <c:v>-49.537025478686139</c:v>
                </c:pt>
                <c:pt idx="984">
                  <c:v>-53.078712653681073</c:v>
                </c:pt>
                <c:pt idx="985">
                  <c:v>-57.165267508434368</c:v>
                </c:pt>
                <c:pt idx="986">
                  <c:v>-61.932906986824996</c:v>
                </c:pt>
                <c:pt idx="987">
                  <c:v>-67.56738146676399</c:v>
                </c:pt>
                <c:pt idx="988">
                  <c:v>-74.328741477211835</c:v>
                </c:pt>
                <c:pt idx="989">
                  <c:v>-82.5926155598696</c:v>
                </c:pt>
                <c:pt idx="990">
                  <c:v>-92.92244652714848</c:v>
                </c:pt>
                <c:pt idx="991">
                  <c:v>-106.20364451267307</c:v>
                </c:pt>
                <c:pt idx="992">
                  <c:v>-123.91189307229462</c:v>
                </c:pt>
                <c:pt idx="993">
                  <c:v>-148.70342260631753</c:v>
                </c:pt>
                <c:pt idx="994">
                  <c:v>-185.89069391506413</c:v>
                </c:pt>
                <c:pt idx="995">
                  <c:v>-247.86944886555983</c:v>
                </c:pt>
                <c:pt idx="996">
                  <c:v>-371.82691305821544</c:v>
                </c:pt>
                <c:pt idx="997">
                  <c:v>-743.69921449266053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BC-4091-AEDB-9A464BE39820}"/>
            </c:ext>
          </c:extLst>
        </c:ser>
        <c:ser>
          <c:idx val="1"/>
          <c:order val="1"/>
          <c:tx>
            <c:v>Negative-Flash-Lower-Bound</c:v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'Rachford-Rice-Solution'!$L$29:$L$30</c:f>
              <c:numCache>
                <c:formatCode>General</c:formatCode>
                <c:ptCount val="2"/>
                <c:pt idx="0">
                  <c:v>-1.375515818431912E-3</c:v>
                </c:pt>
                <c:pt idx="1">
                  <c:v>-1.375515818431912E-3</c:v>
                </c:pt>
              </c:numCache>
            </c:numRef>
          </c:xVal>
          <c:yVal>
            <c:numRef>
              <c:f>'Rachford-Rice-Solution'!$S$29:$S$30</c:f>
              <c:numCache>
                <c:formatCode>General</c:formatCode>
                <c:ptCount val="2"/>
                <c:pt idx="0">
                  <c:v>-10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BC-4091-AEDB-9A464BE39820}"/>
            </c:ext>
          </c:extLst>
        </c:ser>
        <c:ser>
          <c:idx val="2"/>
          <c:order val="2"/>
          <c:tx>
            <c:v>Negative-Flash-Upper-Bound</c:v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'Rachford-Rice-Solution'!$M$29:$M$30</c:f>
              <c:numCache>
                <c:formatCode>General</c:formatCode>
                <c:ptCount val="2"/>
                <c:pt idx="0">
                  <c:v>1.2648621300278271</c:v>
                </c:pt>
                <c:pt idx="1">
                  <c:v>1.2648621300278271</c:v>
                </c:pt>
              </c:numCache>
            </c:numRef>
          </c:xVal>
          <c:yVal>
            <c:numRef>
              <c:f>'Rachford-Rice-Solution'!$S$29:$S$30</c:f>
              <c:numCache>
                <c:formatCode>General</c:formatCode>
                <c:ptCount val="2"/>
                <c:pt idx="0">
                  <c:v>-10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BC-4091-AEDB-9A464BE39820}"/>
            </c:ext>
          </c:extLst>
        </c:ser>
        <c:ser>
          <c:idx val="3"/>
          <c:order val="3"/>
          <c:tx>
            <c:v>Initial-Guess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'Rachford-Rice-Solution'!$D$35</c:f>
              <c:numCache>
                <c:formatCode>General</c:formatCode>
                <c:ptCount val="1"/>
                <c:pt idx="0">
                  <c:v>0.505</c:v>
                </c:pt>
              </c:numCache>
            </c:numRef>
          </c:xVal>
          <c:yVal>
            <c:numRef>
              <c:f>'Rachford-Rice-Solution'!$D$36</c:f>
              <c:numCache>
                <c:formatCode>General</c:formatCode>
                <c:ptCount val="1"/>
                <c:pt idx="0">
                  <c:v>-1.1274626651646109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4BC-4091-AEDB-9A464BE39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9064191"/>
        <c:axId val="1849065439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Bisection-Steps</c:v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solidFill>
                        <a:schemeClr val="tx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'Rachford-Rice-Solution'!$E$35:$X$35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0.25181224209078407</c:v>
                      </c:pt>
                      <c:pt idx="1">
                        <c:v>0.12521836313617607</c:v>
                      </c:pt>
                      <c:pt idx="2">
                        <c:v>6.1921423658872078E-2</c:v>
                      </c:pt>
                      <c:pt idx="3">
                        <c:v>9.356989339752407E-2</c:v>
                      </c:pt>
                      <c:pt idx="4">
                        <c:v>7.7745658528198078E-2</c:v>
                      </c:pt>
                      <c:pt idx="5">
                        <c:v>6.9833541093535081E-2</c:v>
                      </c:pt>
                      <c:pt idx="6">
                        <c:v>7.378959981086658E-2</c:v>
                      </c:pt>
                      <c:pt idx="7">
                        <c:v>7.1811570452200824E-2</c:v>
                      </c:pt>
                      <c:pt idx="8">
                        <c:v>7.0822555772867946E-2</c:v>
                      </c:pt>
                      <c:pt idx="9">
                        <c:v>7.1317063112534385E-2</c:v>
                      </c:pt>
                      <c:pt idx="10">
                        <c:v>7.1069809442701165E-2</c:v>
                      </c:pt>
                      <c:pt idx="11">
                        <c:v>7.1193436277617775E-2</c:v>
                      </c:pt>
                      <c:pt idx="12">
                        <c:v>7.1131622860159477E-2</c:v>
                      </c:pt>
                      <c:pt idx="13">
                        <c:v>7.1162529568888633E-2</c:v>
                      </c:pt>
                      <c:pt idx="14">
                        <c:v>7.1177982923253197E-2</c:v>
                      </c:pt>
                      <c:pt idx="15">
                        <c:v>7.1185709600435493E-2</c:v>
                      </c:pt>
                      <c:pt idx="16">
                        <c:v>7.1181846261844345E-2</c:v>
                      </c:pt>
                      <c:pt idx="17">
                        <c:v>7.1179914592548771E-2</c:v>
                      </c:pt>
                      <c:pt idx="18">
                        <c:v>7.1178948757900984E-2</c:v>
                      </c:pt>
                      <c:pt idx="19">
                        <c:v>7.1179431675224877E-2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'Rachford-Rice-Solution'!$E$36:$X$36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-0.70424208427729562</c:v>
                      </c:pt>
                      <c:pt idx="1">
                        <c:v>-0.37455978922219735</c:v>
                      </c:pt>
                      <c:pt idx="2">
                        <c:v>0.12159414092059295</c:v>
                      </c:pt>
                      <c:pt idx="3">
                        <c:v>-0.20133287957142776</c:v>
                      </c:pt>
                      <c:pt idx="4">
                        <c:v>-6.9903474997440984E-2</c:v>
                      </c:pt>
                      <c:pt idx="5">
                        <c:v>1.5821502861515735E-2</c:v>
                      </c:pt>
                      <c:pt idx="6">
                        <c:v>-2.91498148873095E-2</c:v>
                      </c:pt>
                      <c:pt idx="7">
                        <c:v>-7.2342975951921185E-3</c:v>
                      </c:pt>
                      <c:pt idx="8">
                        <c:v>4.1451859540269087E-3</c:v>
                      </c:pt>
                      <c:pt idx="9">
                        <c:v>-1.5808998305502087E-3</c:v>
                      </c:pt>
                      <c:pt idx="10">
                        <c:v>1.2729636603900918E-3</c:v>
                      </c:pt>
                      <c:pt idx="11">
                        <c:v>-1.5625116113870963E-4</c:v>
                      </c:pt>
                      <c:pt idx="12">
                        <c:v>5.5778401509809505E-4</c:v>
                      </c:pt>
                      <c:pt idx="13">
                        <c:v>2.0062355192707049E-4</c:v>
                      </c:pt>
                      <c:pt idx="14">
                        <c:v>2.2150499544237867E-5</c:v>
                      </c:pt>
                      <c:pt idx="15">
                        <c:v>-6.7059251897760852E-5</c:v>
                      </c:pt>
                      <c:pt idx="16">
                        <c:v>-2.2456606809440061E-5</c:v>
                      </c:pt>
                      <c:pt idx="17">
                        <c:v>-1.5361133542945993E-7</c:v>
                      </c:pt>
                      <c:pt idx="18">
                        <c:v>1.0998304672993342E-5</c:v>
                      </c:pt>
                      <c:pt idx="19">
                        <c:v>5.4223118116647484E-6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34BC-4091-AEDB-9A464BE39820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Bounded-Newton-Steps</c:v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rgbClr val="FF0000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'Rachford-Rice-Solution'!$E$46:$X$46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0.25181224209078407</c:v>
                      </c:pt>
                      <c:pt idx="1">
                        <c:v>0.12521836313617607</c:v>
                      </c:pt>
                      <c:pt idx="2">
                        <c:v>3.8137118865314665E-2</c:v>
                      </c:pt>
                      <c:pt idx="3">
                        <c:v>5.6399631784858142E-2</c:v>
                      </c:pt>
                      <c:pt idx="4">
                        <c:v>6.8284762364536275E-2</c:v>
                      </c:pt>
                      <c:pt idx="5">
                        <c:v>7.1070850155656895E-2</c:v>
                      </c:pt>
                      <c:pt idx="6">
                        <c:v>7.1179747316842734E-2</c:v>
                      </c:pt>
                      <c:pt idx="7">
                        <c:v>7.1179901288251843E-2</c:v>
                      </c:pt>
                      <c:pt idx="8">
                        <c:v>7.1179901288558722E-2</c:v>
                      </c:pt>
                      <c:pt idx="9">
                        <c:v>7.1179901288558736E-2</c:v>
                      </c:pt>
                      <c:pt idx="10">
                        <c:v>7.1179901288558736E-2</c:v>
                      </c:pt>
                      <c:pt idx="11">
                        <c:v>7.1179901288558736E-2</c:v>
                      </c:pt>
                      <c:pt idx="12">
                        <c:v>7.1179901288558736E-2</c:v>
                      </c:pt>
                      <c:pt idx="13">
                        <c:v>7.1179901288558736E-2</c:v>
                      </c:pt>
                      <c:pt idx="14">
                        <c:v>7.1179901288558736E-2</c:v>
                      </c:pt>
                      <c:pt idx="15">
                        <c:v>7.1179901288558736E-2</c:v>
                      </c:pt>
                      <c:pt idx="16">
                        <c:v>7.1179901288558736E-2</c:v>
                      </c:pt>
                      <c:pt idx="17">
                        <c:v>7.1179901288558736E-2</c:v>
                      </c:pt>
                      <c:pt idx="18">
                        <c:v>7.1179901288558736E-2</c:v>
                      </c:pt>
                      <c:pt idx="19">
                        <c:v>7.1179901288558736E-2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'Rachford-Rice-Solution'!$E$47:$X$47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-0.70424208427729562</c:v>
                      </c:pt>
                      <c:pt idx="1">
                        <c:v>-0.37455978922219735</c:v>
                      </c:pt>
                      <c:pt idx="2">
                        <c:v>0.68170016871892636</c:v>
                      </c:pt>
                      <c:pt idx="3">
                        <c:v>0.21169378681685114</c:v>
                      </c:pt>
                      <c:pt idx="4">
                        <c:v>3.4733089835565556E-2</c:v>
                      </c:pt>
                      <c:pt idx="5">
                        <c:v>1.2609131501113424E-3</c:v>
                      </c:pt>
                      <c:pt idx="6">
                        <c:v>1.7778014013147825E-6</c:v>
                      </c:pt>
                      <c:pt idx="7">
                        <c:v>3.5433878053936496E-12</c:v>
                      </c:pt>
                      <c:pt idx="8">
                        <c:v>1.1102230246251565E-16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34BC-4091-AEDB-9A464BE39820}"/>
                  </c:ext>
                </c:extLst>
              </c15:ser>
            </c15:filteredScatterSeries>
          </c:ext>
        </c:extLst>
      </c:scatterChart>
      <c:valAx>
        <c:axId val="1849064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/>
                  <a:t>Vapor Molar Fraction,</a:t>
                </a:r>
                <a:r>
                  <a:rPr lang="en-US" b="1" baseline="0"/>
                  <a:t> F</a:t>
                </a:r>
                <a:r>
                  <a:rPr lang="en-US" b="1" baseline="-25000"/>
                  <a:t>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49065439"/>
        <c:crosses val="autoZero"/>
        <c:crossBetween val="midCat"/>
      </c:valAx>
      <c:valAx>
        <c:axId val="1849065439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/>
                  <a:t>Rachford-Rice Residual,</a:t>
                </a:r>
                <a:r>
                  <a:rPr lang="en-US" b="1" baseline="0"/>
                  <a:t> h(F</a:t>
                </a:r>
                <a:r>
                  <a:rPr lang="en-US" b="1" baseline="-25000"/>
                  <a:t>V</a:t>
                </a:r>
                <a:r>
                  <a:rPr lang="en-US" b="1" baseline="0"/>
                  <a:t>)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49064191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Bisection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25400">
                <a:solidFill>
                  <a:srgbClr val="0070C0"/>
                </a:solidFill>
              </a:ln>
            </c:spPr>
          </c:marker>
          <c:xVal>
            <c:numRef>
              <c:f>'Rachford-Rice-Solution'!$D$32:$X$32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'Rachford-Rice-Solution'!$D$37:$X$37</c:f>
              <c:numCache>
                <c:formatCode>General</c:formatCode>
                <c:ptCount val="21"/>
                <c:pt idx="0">
                  <c:v>1.1274626651646109</c:v>
                </c:pt>
                <c:pt idx="1">
                  <c:v>0.70424208427729562</c:v>
                </c:pt>
                <c:pt idx="2">
                  <c:v>0.37455978922219735</c:v>
                </c:pt>
                <c:pt idx="3">
                  <c:v>0.12159414092059295</c:v>
                </c:pt>
                <c:pt idx="4">
                  <c:v>0.20133287957142776</c:v>
                </c:pt>
                <c:pt idx="5">
                  <c:v>6.9903474997440984E-2</c:v>
                </c:pt>
                <c:pt idx="6">
                  <c:v>1.5821502861515735E-2</c:v>
                </c:pt>
                <c:pt idx="7">
                  <c:v>2.91498148873095E-2</c:v>
                </c:pt>
                <c:pt idx="8">
                  <c:v>7.2342975951921185E-3</c:v>
                </c:pt>
                <c:pt idx="9">
                  <c:v>4.1451859540269087E-3</c:v>
                </c:pt>
                <c:pt idx="10">
                  <c:v>1.5808998305502087E-3</c:v>
                </c:pt>
                <c:pt idx="11">
                  <c:v>1.2729636603900918E-3</c:v>
                </c:pt>
                <c:pt idx="12">
                  <c:v>1.5625116113870963E-4</c:v>
                </c:pt>
                <c:pt idx="13">
                  <c:v>5.5778401509809505E-4</c:v>
                </c:pt>
                <c:pt idx="14">
                  <c:v>2.0062355192707049E-4</c:v>
                </c:pt>
                <c:pt idx="15">
                  <c:v>2.2150499544237867E-5</c:v>
                </c:pt>
                <c:pt idx="16">
                  <c:v>6.7059251897760852E-5</c:v>
                </c:pt>
                <c:pt idx="17">
                  <c:v>2.2456606809440061E-5</c:v>
                </c:pt>
                <c:pt idx="18">
                  <c:v>1.5361133542945993E-7</c:v>
                </c:pt>
                <c:pt idx="19">
                  <c:v>1.0998304672993342E-5</c:v>
                </c:pt>
                <c:pt idx="20">
                  <c:v>5.4223118116647484E-6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D1-47BF-90D4-4ED6F64D8CDB}"/>
            </c:ext>
          </c:extLst>
        </c:ser>
        <c:ser>
          <c:idx val="1"/>
          <c:order val="1"/>
          <c:tx>
            <c:v>Unbounded-Newton</c:v>
          </c:tx>
          <c:spPr>
            <a:ln w="1905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</c:spPr>
          </c:marker>
          <c:xVal>
            <c:numRef>
              <c:f>'Rachford-Rice-Solution'!$D$32:$X$32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'Rachford-Rice-Solution'!$D$44:$X$44</c:f>
              <c:numCache>
                <c:formatCode>General</c:formatCode>
                <c:ptCount val="21"/>
                <c:pt idx="0">
                  <c:v>1.1274626651646109</c:v>
                </c:pt>
                <c:pt idx="1">
                  <c:v>1.2565578708616516</c:v>
                </c:pt>
                <c:pt idx="2">
                  <c:v>0.78637362280871748</c:v>
                </c:pt>
                <c:pt idx="3">
                  <c:v>0.45051903514172653</c:v>
                </c:pt>
                <c:pt idx="4">
                  <c:v>0.22961770304314541</c:v>
                </c:pt>
                <c:pt idx="5">
                  <c:v>0.11507381922288711</c:v>
                </c:pt>
                <c:pt idx="6">
                  <c:v>5.7560026720946546E-2</c:v>
                </c:pt>
                <c:pt idx="7">
                  <c:v>2.8782448310024373E-2</c:v>
                </c:pt>
                <c:pt idx="8">
                  <c:v>1.4391504235218852E-2</c:v>
                </c:pt>
                <c:pt idx="9">
                  <c:v>7.1957857225850991E-3</c:v>
                </c:pt>
                <c:pt idx="10">
                  <c:v>3.5978969774014373E-3</c:v>
                </c:pt>
                <c:pt idx="11">
                  <c:v>1.7989489980320802E-3</c:v>
                </c:pt>
                <c:pt idx="12">
                  <c:v>8.9947456236163755E-4</c:v>
                </c:pt>
                <c:pt idx="13">
                  <c:v>4.4973728907906203E-4</c:v>
                </c:pt>
                <c:pt idx="14">
                  <c:v>2.2486864552556714E-4</c:v>
                </c:pt>
                <c:pt idx="15">
                  <c:v>1.1243432288596042E-4</c:v>
                </c:pt>
                <c:pt idx="16">
                  <c:v>5.6217161458372456E-5</c:v>
                </c:pt>
                <c:pt idx="17">
                  <c:v>2.8108580731109959E-5</c:v>
                </c:pt>
                <c:pt idx="18">
                  <c:v>1.4054290365795432E-5</c:v>
                </c:pt>
                <c:pt idx="19">
                  <c:v>7.0271451829277694E-6</c:v>
                </c:pt>
                <c:pt idx="20">
                  <c:v>3.5135725914676421E-6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7D1-47BF-90D4-4ED6F64D8CDB}"/>
            </c:ext>
          </c:extLst>
        </c:ser>
        <c:ser>
          <c:idx val="2"/>
          <c:order val="2"/>
          <c:tx>
            <c:v>Bounded-Newton</c:v>
          </c:tx>
          <c:spPr>
            <a:ln w="1905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25400">
                <a:solidFill>
                  <a:srgbClr val="FF0000"/>
                </a:solidFill>
              </a:ln>
            </c:spPr>
          </c:marker>
          <c:xVal>
            <c:numRef>
              <c:f>'Rachford-Rice-Solution'!$D$32:$X$32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'Rachford-Rice-Solution'!$D$49:$X$49</c:f>
              <c:numCache>
                <c:formatCode>General</c:formatCode>
                <c:ptCount val="21"/>
                <c:pt idx="0">
                  <c:v>1.1274626651646109</c:v>
                </c:pt>
                <c:pt idx="1">
                  <c:v>0.70424208427729562</c:v>
                </c:pt>
                <c:pt idx="2">
                  <c:v>0.37455978922219735</c:v>
                </c:pt>
                <c:pt idx="3">
                  <c:v>0.68170016871892636</c:v>
                </c:pt>
                <c:pt idx="4">
                  <c:v>0.21169378681685114</c:v>
                </c:pt>
                <c:pt idx="5">
                  <c:v>3.4733089835565556E-2</c:v>
                </c:pt>
                <c:pt idx="6">
                  <c:v>1.2609131501113424E-3</c:v>
                </c:pt>
                <c:pt idx="7">
                  <c:v>1.7778014013147825E-6</c:v>
                </c:pt>
                <c:pt idx="8">
                  <c:v>3.5433878053936496E-12</c:v>
                </c:pt>
                <c:pt idx="9">
                  <c:v>1.1102230246251565E-16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7D1-47BF-90D4-4ED6F64D8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9064191"/>
        <c:axId val="1849065439"/>
      </c:scatterChart>
      <c:valAx>
        <c:axId val="1849064191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Nunber of Iterations</a:t>
                </a:r>
              </a:p>
            </c:rich>
          </c:tx>
          <c:layout>
            <c:manualLayout>
              <c:xMode val="edge"/>
              <c:yMode val="edge"/>
              <c:x val="0.48149749835958006"/>
              <c:y val="0.90040650406504064"/>
            </c:manualLayout>
          </c:layout>
          <c:overlay val="0"/>
        </c:title>
        <c:numFmt formatCode="General" sourceLinked="1"/>
        <c:majorTickMark val="in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49065439"/>
        <c:crosses val="autoZero"/>
        <c:crossBetween val="midCat"/>
      </c:valAx>
      <c:valAx>
        <c:axId val="1849065439"/>
        <c:scaling>
          <c:logBase val="10"/>
          <c:orientation val="minMax"/>
          <c:max val="1"/>
          <c:min val="1.0000000000000006E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Abolute Residual, |h(F</a:t>
                </a:r>
                <a:r>
                  <a:rPr lang="en-US" baseline="-25000"/>
                  <a:t>V</a:t>
                </a:r>
                <a:r>
                  <a:rPr lang="en-US"/>
                  <a:t>)|</a:t>
                </a:r>
              </a:p>
            </c:rich>
          </c:tx>
          <c:overlay val="0"/>
        </c:title>
        <c:numFmt formatCode="0.E+00" sourceLinked="0"/>
        <c:majorTickMark val="out"/>
        <c:minorTickMark val="out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49064191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6350</xdr:rowOff>
    </xdr:from>
    <xdr:to>
      <xdr:col>9</xdr:col>
      <xdr:colOff>12700</xdr:colOff>
      <xdr:row>18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00F369C-7EC8-4BCE-9C95-AA2C7AA628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</xdr:row>
      <xdr:rowOff>6350</xdr:rowOff>
    </xdr:from>
    <xdr:to>
      <xdr:col>18</xdr:col>
      <xdr:colOff>0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3EA90A-1C4E-4D4C-A312-BCFBE566A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298450</xdr:rowOff>
        </xdr:from>
        <xdr:to>
          <xdr:col>8</xdr:col>
          <xdr:colOff>361950</xdr:colOff>
          <xdr:row>21</xdr:row>
          <xdr:rowOff>6350</xdr:rowOff>
        </xdr:to>
        <xdr:sp macro="" textlink="">
          <xdr:nvSpPr>
            <xdr:cNvPr id="1030" name="ScrollBar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298450</xdr:rowOff>
        </xdr:from>
        <xdr:to>
          <xdr:col>8</xdr:col>
          <xdr:colOff>381000</xdr:colOff>
          <xdr:row>24</xdr:row>
          <xdr:rowOff>6350</xdr:rowOff>
        </xdr:to>
        <xdr:sp macro="" textlink="">
          <xdr:nvSpPr>
            <xdr:cNvPr id="1032" name="ScrollBar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1F624EE4-3783-4563-8CE7-EB4A3E8211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298450</xdr:rowOff>
        </xdr:from>
        <xdr:to>
          <xdr:col>18</xdr:col>
          <xdr:colOff>12700</xdr:colOff>
          <xdr:row>24</xdr:row>
          <xdr:rowOff>6350</xdr:rowOff>
        </xdr:to>
        <xdr:sp macro="" textlink="">
          <xdr:nvSpPr>
            <xdr:cNvPr id="1034" name="ScrollBa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F8DE70AB-2068-4D3E-A088-8759AE981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6350</xdr:rowOff>
        </xdr:from>
        <xdr:to>
          <xdr:col>17</xdr:col>
          <xdr:colOff>603250</xdr:colOff>
          <xdr:row>21</xdr:row>
          <xdr:rowOff>19050</xdr:rowOff>
        </xdr:to>
        <xdr:sp macro="" textlink="">
          <xdr:nvSpPr>
            <xdr:cNvPr id="1035" name="ScrollBar4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6E437E72-B430-4C35-A650-DD42095394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B41E-B2E1-4EE2-927A-2373AD253493}">
  <sheetPr codeName="Sheet1"/>
  <dimension ref="B20:X51"/>
  <sheetViews>
    <sheetView tabSelected="1" workbookViewId="0">
      <selection activeCell="J1" sqref="J1"/>
    </sheetView>
  </sheetViews>
  <sheetFormatPr defaultRowHeight="14.5" x14ac:dyDescent="0.35"/>
  <cols>
    <col min="4" max="4" width="10.81640625" bestFit="1" customWidth="1"/>
    <col min="7" max="7" width="10.08984375" bestFit="1" customWidth="1"/>
    <col min="8" max="8" width="8.7265625" customWidth="1"/>
    <col min="9" max="9" width="15.6328125" customWidth="1"/>
    <col min="10" max="10" width="8.7265625" customWidth="1"/>
  </cols>
  <sheetData>
    <row r="20" spans="2:24" ht="24" x14ac:dyDescent="0.65">
      <c r="B20" s="1" t="s">
        <v>0</v>
      </c>
      <c r="C20" s="1"/>
      <c r="D20" s="1"/>
      <c r="E20" s="1"/>
      <c r="F20" s="1"/>
      <c r="G20" s="1"/>
      <c r="H20" s="1"/>
      <c r="I20" s="1"/>
      <c r="K20" s="1" t="s">
        <v>27</v>
      </c>
      <c r="L20" s="1"/>
      <c r="M20" s="1"/>
      <c r="N20" s="1"/>
      <c r="O20" s="1"/>
      <c r="P20" s="1"/>
      <c r="Q20" s="1"/>
      <c r="R20" s="1"/>
    </row>
    <row r="21" spans="2:24" x14ac:dyDescent="0.35">
      <c r="K21" s="4">
        <v>573</v>
      </c>
      <c r="L21" s="4">
        <v>727</v>
      </c>
      <c r="M21" s="4">
        <v>2094</v>
      </c>
      <c r="N21">
        <v>5050</v>
      </c>
    </row>
    <row r="23" spans="2:24" ht="24" x14ac:dyDescent="0.65">
      <c r="B23" s="1" t="s">
        <v>1</v>
      </c>
      <c r="C23" s="1"/>
      <c r="D23" s="1"/>
      <c r="E23" s="1"/>
      <c r="F23" s="1"/>
      <c r="G23" s="1"/>
      <c r="H23" s="1"/>
      <c r="I23" s="1"/>
      <c r="K23" s="1" t="s">
        <v>2</v>
      </c>
      <c r="L23" s="1"/>
      <c r="M23" s="1"/>
      <c r="N23" s="1"/>
      <c r="O23" s="1"/>
      <c r="P23" s="1"/>
      <c r="Q23" s="1"/>
      <c r="R23" s="1"/>
    </row>
    <row r="24" spans="2:24" x14ac:dyDescent="0.35">
      <c r="T24" t="s">
        <v>25</v>
      </c>
      <c r="U24" t="s">
        <v>28</v>
      </c>
    </row>
    <row r="25" spans="2:24" x14ac:dyDescent="0.35">
      <c r="T25" t="s">
        <v>26</v>
      </c>
      <c r="U25" t="s">
        <v>29</v>
      </c>
    </row>
    <row r="26" spans="2:24" x14ac:dyDescent="0.35">
      <c r="B26" s="2" t="s">
        <v>3</v>
      </c>
      <c r="C26" s="2" t="s">
        <v>5</v>
      </c>
      <c r="D26" s="2" t="s">
        <v>3</v>
      </c>
      <c r="E26" s="2" t="s">
        <v>5</v>
      </c>
      <c r="G26" s="2" t="s">
        <v>13</v>
      </c>
      <c r="T26" t="s">
        <v>31</v>
      </c>
      <c r="U26" t="s">
        <v>30</v>
      </c>
    </row>
    <row r="27" spans="2:24" x14ac:dyDescent="0.35">
      <c r="B27" s="2" t="s">
        <v>4</v>
      </c>
      <c r="C27" s="2" t="s">
        <v>4</v>
      </c>
      <c r="D27" s="2" t="s">
        <v>6</v>
      </c>
      <c r="E27" s="2" t="s">
        <v>6</v>
      </c>
      <c r="G27" s="2" t="s">
        <v>14</v>
      </c>
      <c r="H27" s="2" t="s">
        <v>13</v>
      </c>
      <c r="I27" s="2" t="s">
        <v>16</v>
      </c>
      <c r="L27" s="2" t="s">
        <v>20</v>
      </c>
      <c r="M27" s="2" t="s">
        <v>20</v>
      </c>
      <c r="N27" s="2" t="s">
        <v>23</v>
      </c>
      <c r="O27" s="2" t="s">
        <v>23</v>
      </c>
      <c r="P27" s="2" t="s">
        <v>24</v>
      </c>
      <c r="Q27" s="2" t="s">
        <v>24</v>
      </c>
    </row>
    <row r="28" spans="2:24" ht="16.5" x14ac:dyDescent="0.45">
      <c r="B28" s="2" t="s">
        <v>7</v>
      </c>
      <c r="C28" s="2" t="s">
        <v>8</v>
      </c>
      <c r="D28" s="2" t="s">
        <v>9</v>
      </c>
      <c r="E28" s="2" t="s">
        <v>10</v>
      </c>
      <c r="G28" s="2" t="s">
        <v>15</v>
      </c>
      <c r="H28" s="2" t="s">
        <v>17</v>
      </c>
      <c r="I28" s="2" t="s">
        <v>15</v>
      </c>
      <c r="L28" s="2" t="s">
        <v>21</v>
      </c>
      <c r="M28" s="2" t="s">
        <v>22</v>
      </c>
      <c r="N28" s="2" t="s">
        <v>21</v>
      </c>
      <c r="O28" s="2" t="s">
        <v>22</v>
      </c>
      <c r="P28" s="2" t="s">
        <v>21</v>
      </c>
      <c r="Q28" s="2" t="s">
        <v>22</v>
      </c>
    </row>
    <row r="29" spans="2:24" x14ac:dyDescent="0.35">
      <c r="B29">
        <f>K21/10000</f>
        <v>5.7299999999999997E-2</v>
      </c>
      <c r="C29">
        <f>1-B29</f>
        <v>0.94269999999999998</v>
      </c>
      <c r="D29">
        <f>1+L21</f>
        <v>728</v>
      </c>
      <c r="E29">
        <f>1-(10000-M21)/10000</f>
        <v>0.20940000000000003</v>
      </c>
      <c r="G29" s="6" t="s">
        <v>26</v>
      </c>
      <c r="H29" s="7" cm="1">
        <f t="array" ref="H29">IF(G29="midpoint",(D50+D51)/2,IF(G29="custom",N21/10000,IF(I29&lt;&gt;"negative flash",IF(RR_Eq($B$29,$C$29,$D$29,$E$29,(L29+M29)/2)&lt;0,D50,D51),(D50+D51)/2)))</f>
        <v>0.505</v>
      </c>
      <c r="I29" s="6" t="s">
        <v>28</v>
      </c>
      <c r="L29">
        <f>1/(1-D29)</f>
        <v>-1.375515818431912E-3</v>
      </c>
      <c r="M29">
        <f>1/(1-E29)</f>
        <v>1.2648621300278271</v>
      </c>
      <c r="N29">
        <f>(D29*B29-1)/(D29-1)</f>
        <v>5.600330123796423E-2</v>
      </c>
      <c r="O29">
        <f>(1-C29)/(1-E29)</f>
        <v>7.2476600050594517E-2</v>
      </c>
      <c r="P29">
        <f>L29+($M$29-$L$29)*B29</f>
        <v>7.1179901288558722E-2</v>
      </c>
      <c r="Q29">
        <f>M29-($M$29-$L$29)*C29</f>
        <v>7.1179901288558778E-2</v>
      </c>
      <c r="S29">
        <v>-10</v>
      </c>
    </row>
    <row r="30" spans="2:24" x14ac:dyDescent="0.35">
      <c r="L30">
        <f>L29</f>
        <v>-1.375515818431912E-3</v>
      </c>
      <c r="M30">
        <f t="shared" ref="M30:Q30" si="0">M29</f>
        <v>1.2648621300278271</v>
      </c>
      <c r="N30">
        <f t="shared" si="0"/>
        <v>5.600330123796423E-2</v>
      </c>
      <c r="O30">
        <f t="shared" si="0"/>
        <v>7.2476600050594517E-2</v>
      </c>
      <c r="P30">
        <f t="shared" si="0"/>
        <v>7.1179901288558722E-2</v>
      </c>
      <c r="Q30">
        <f t="shared" si="0"/>
        <v>7.1179901288558778E-2</v>
      </c>
      <c r="S30">
        <v>10</v>
      </c>
    </row>
    <row r="32" spans="2:24" x14ac:dyDescent="0.35">
      <c r="C32" s="2" t="s">
        <v>11</v>
      </c>
      <c r="D32" s="12">
        <v>0</v>
      </c>
      <c r="E32">
        <v>1</v>
      </c>
      <c r="F32">
        <v>2</v>
      </c>
      <c r="G32">
        <v>3</v>
      </c>
      <c r="H32">
        <v>4</v>
      </c>
      <c r="I32">
        <v>5</v>
      </c>
      <c r="J32">
        <v>6</v>
      </c>
      <c r="K32">
        <v>7</v>
      </c>
      <c r="L32">
        <v>8</v>
      </c>
      <c r="M32">
        <v>9</v>
      </c>
      <c r="N32">
        <v>10</v>
      </c>
      <c r="O32">
        <v>11</v>
      </c>
      <c r="P32">
        <v>12</v>
      </c>
      <c r="Q32">
        <v>13</v>
      </c>
      <c r="R32">
        <v>14</v>
      </c>
      <c r="S32">
        <v>15</v>
      </c>
      <c r="T32">
        <v>16</v>
      </c>
      <c r="U32">
        <v>17</v>
      </c>
      <c r="V32">
        <v>18</v>
      </c>
      <c r="W32">
        <v>19</v>
      </c>
      <c r="X32">
        <v>20</v>
      </c>
    </row>
    <row r="33" spans="2:24" x14ac:dyDescent="0.35">
      <c r="C33" s="10"/>
      <c r="D33" s="13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spans="2:24" x14ac:dyDescent="0.35">
      <c r="B34" s="3" t="s">
        <v>12</v>
      </c>
      <c r="C34" s="11" t="s">
        <v>35</v>
      </c>
      <c r="D34" s="12"/>
    </row>
    <row r="35" spans="2:24" x14ac:dyDescent="0.35">
      <c r="B35" s="3"/>
      <c r="C35" s="5" t="s">
        <v>33</v>
      </c>
      <c r="D35" s="12">
        <f>$H$29</f>
        <v>0.505</v>
      </c>
      <c r="E35">
        <f>(D39+D38)/2</f>
        <v>0.25181224209078407</v>
      </c>
      <c r="F35">
        <f t="shared" ref="F35:X35" si="1">(E39+E38)/2</f>
        <v>0.12521836313617607</v>
      </c>
      <c r="G35">
        <f t="shared" si="1"/>
        <v>6.1921423658872078E-2</v>
      </c>
      <c r="H35">
        <f t="shared" si="1"/>
        <v>9.356989339752407E-2</v>
      </c>
      <c r="I35">
        <f t="shared" si="1"/>
        <v>7.7745658528198078E-2</v>
      </c>
      <c r="J35">
        <f t="shared" si="1"/>
        <v>6.9833541093535081E-2</v>
      </c>
      <c r="K35">
        <f t="shared" si="1"/>
        <v>7.378959981086658E-2</v>
      </c>
      <c r="L35">
        <f t="shared" si="1"/>
        <v>7.1811570452200824E-2</v>
      </c>
      <c r="M35">
        <f t="shared" si="1"/>
        <v>7.0822555772867946E-2</v>
      </c>
      <c r="N35">
        <f t="shared" si="1"/>
        <v>7.1317063112534385E-2</v>
      </c>
      <c r="O35">
        <f t="shared" si="1"/>
        <v>7.1069809442701165E-2</v>
      </c>
      <c r="P35">
        <f t="shared" si="1"/>
        <v>7.1193436277617775E-2</v>
      </c>
      <c r="Q35">
        <f t="shared" si="1"/>
        <v>7.1131622860159477E-2</v>
      </c>
      <c r="R35">
        <f t="shared" si="1"/>
        <v>7.1162529568888633E-2</v>
      </c>
      <c r="S35">
        <f t="shared" si="1"/>
        <v>7.1177982923253197E-2</v>
      </c>
      <c r="T35">
        <f t="shared" si="1"/>
        <v>7.1185709600435493E-2</v>
      </c>
      <c r="U35">
        <f t="shared" si="1"/>
        <v>7.1181846261844345E-2</v>
      </c>
      <c r="V35">
        <f t="shared" si="1"/>
        <v>7.1179914592548771E-2</v>
      </c>
      <c r="W35">
        <f t="shared" si="1"/>
        <v>7.1178948757900984E-2</v>
      </c>
      <c r="X35">
        <f t="shared" si="1"/>
        <v>7.1179431675224877E-2</v>
      </c>
    </row>
    <row r="36" spans="2:24" x14ac:dyDescent="0.35">
      <c r="B36" s="3"/>
      <c r="C36" s="5" t="s">
        <v>32</v>
      </c>
      <c r="D36" s="12" cm="1">
        <f t="array" ref="D36">RR_Eq($B$29,$C$29,$D$29,$E$29,D35)</f>
        <v>-1.1274626651646109</v>
      </c>
      <c r="E36" cm="1">
        <f t="array" ref="E36">RR_Eq($B$29,$C$29,$D$29,$E$29,E35)</f>
        <v>-0.70424208427729562</v>
      </c>
      <c r="F36" cm="1">
        <f t="array" ref="F36">RR_Eq($B$29,$C$29,$D$29,$E$29,F35)</f>
        <v>-0.37455978922219735</v>
      </c>
      <c r="G36" cm="1">
        <f t="array" ref="G36">RR_Eq($B$29,$C$29,$D$29,$E$29,G35)</f>
        <v>0.12159414092059295</v>
      </c>
      <c r="H36" cm="1">
        <f t="array" ref="H36">RR_Eq($B$29,$C$29,$D$29,$E$29,H35)</f>
        <v>-0.20133287957142776</v>
      </c>
      <c r="I36" cm="1">
        <f t="array" ref="I36">RR_Eq($B$29,$C$29,$D$29,$E$29,I35)</f>
        <v>-6.9903474997440984E-2</v>
      </c>
      <c r="J36" cm="1">
        <f t="array" ref="J36">RR_Eq($B$29,$C$29,$D$29,$E$29,J35)</f>
        <v>1.5821502861515735E-2</v>
      </c>
      <c r="K36" cm="1">
        <f t="array" ref="K36">RR_Eq($B$29,$C$29,$D$29,$E$29,K35)</f>
        <v>-2.91498148873095E-2</v>
      </c>
      <c r="L36" cm="1">
        <f t="array" ref="L36">RR_Eq($B$29,$C$29,$D$29,$E$29,L35)</f>
        <v>-7.2342975951921185E-3</v>
      </c>
      <c r="M36" cm="1">
        <f t="array" ref="M36">RR_Eq($B$29,$C$29,$D$29,$E$29,M35)</f>
        <v>4.1451859540269087E-3</v>
      </c>
      <c r="N36" cm="1">
        <f t="array" ref="N36">RR_Eq($B$29,$C$29,$D$29,$E$29,N35)</f>
        <v>-1.5808998305502087E-3</v>
      </c>
      <c r="O36" cm="1">
        <f t="array" ref="O36">RR_Eq($B$29,$C$29,$D$29,$E$29,O35)</f>
        <v>1.2729636603900918E-3</v>
      </c>
      <c r="P36" cm="1">
        <f t="array" ref="P36">RR_Eq($B$29,$C$29,$D$29,$E$29,P35)</f>
        <v>-1.5625116113870963E-4</v>
      </c>
      <c r="Q36" cm="1">
        <f t="array" ref="Q36">RR_Eq($B$29,$C$29,$D$29,$E$29,Q35)</f>
        <v>5.5778401509809505E-4</v>
      </c>
      <c r="R36" cm="1">
        <f t="array" ref="R36">RR_Eq($B$29,$C$29,$D$29,$E$29,R35)</f>
        <v>2.0062355192707049E-4</v>
      </c>
      <c r="S36" cm="1">
        <f t="array" ref="S36">RR_Eq($B$29,$C$29,$D$29,$E$29,S35)</f>
        <v>2.2150499544237867E-5</v>
      </c>
      <c r="T36" cm="1">
        <f t="array" ref="T36">RR_Eq($B$29,$C$29,$D$29,$E$29,T35)</f>
        <v>-6.7059251897760852E-5</v>
      </c>
      <c r="U36" cm="1">
        <f t="array" ref="U36">RR_Eq($B$29,$C$29,$D$29,$E$29,U35)</f>
        <v>-2.2456606809440061E-5</v>
      </c>
      <c r="V36" cm="1">
        <f t="array" ref="V36">RR_Eq($B$29,$C$29,$D$29,$E$29,V35)</f>
        <v>-1.5361133542945993E-7</v>
      </c>
      <c r="W36" cm="1">
        <f t="array" ref="W36">RR_Eq($B$29,$C$29,$D$29,$E$29,W35)</f>
        <v>1.0998304672993342E-5</v>
      </c>
      <c r="X36" cm="1">
        <f t="array" ref="X36">RR_Eq($B$29,$C$29,$D$29,$E$29,X35)</f>
        <v>5.4223118116647484E-6</v>
      </c>
    </row>
    <row r="37" spans="2:24" x14ac:dyDescent="0.35">
      <c r="B37" s="3"/>
      <c r="C37" s="5" t="s">
        <v>38</v>
      </c>
      <c r="D37" s="12">
        <f>ABS(D36)</f>
        <v>1.1274626651646109</v>
      </c>
      <c r="E37">
        <f>ABS(E36)</f>
        <v>0.70424208427729562</v>
      </c>
      <c r="F37">
        <f t="shared" ref="F37:X37" si="2">ABS(F36)</f>
        <v>0.37455978922219735</v>
      </c>
      <c r="G37">
        <f t="shared" si="2"/>
        <v>0.12159414092059295</v>
      </c>
      <c r="H37">
        <f t="shared" si="2"/>
        <v>0.20133287957142776</v>
      </c>
      <c r="I37">
        <f t="shared" si="2"/>
        <v>6.9903474997440984E-2</v>
      </c>
      <c r="J37">
        <f t="shared" si="2"/>
        <v>1.5821502861515735E-2</v>
      </c>
      <c r="K37">
        <f t="shared" si="2"/>
        <v>2.91498148873095E-2</v>
      </c>
      <c r="L37">
        <f t="shared" si="2"/>
        <v>7.2342975951921185E-3</v>
      </c>
      <c r="M37">
        <f t="shared" si="2"/>
        <v>4.1451859540269087E-3</v>
      </c>
      <c r="N37">
        <f t="shared" si="2"/>
        <v>1.5808998305502087E-3</v>
      </c>
      <c r="O37">
        <f t="shared" si="2"/>
        <v>1.2729636603900918E-3</v>
      </c>
      <c r="P37">
        <f t="shared" si="2"/>
        <v>1.5625116113870963E-4</v>
      </c>
      <c r="Q37">
        <f t="shared" si="2"/>
        <v>5.5778401509809505E-4</v>
      </c>
      <c r="R37">
        <f t="shared" si="2"/>
        <v>2.0062355192707049E-4</v>
      </c>
      <c r="S37">
        <f t="shared" si="2"/>
        <v>2.2150499544237867E-5</v>
      </c>
      <c r="T37">
        <f t="shared" si="2"/>
        <v>6.7059251897760852E-5</v>
      </c>
      <c r="U37">
        <f t="shared" si="2"/>
        <v>2.2456606809440061E-5</v>
      </c>
      <c r="V37">
        <f t="shared" si="2"/>
        <v>1.5361133542945993E-7</v>
      </c>
      <c r="W37">
        <f t="shared" si="2"/>
        <v>1.0998304672993342E-5</v>
      </c>
      <c r="X37">
        <f t="shared" si="2"/>
        <v>5.4223118116647484E-6</v>
      </c>
    </row>
    <row r="38" spans="2:24" x14ac:dyDescent="0.35">
      <c r="C38" s="5" t="s">
        <v>18</v>
      </c>
      <c r="D38" s="12">
        <f>IF(D36&lt;0,D50,D35)</f>
        <v>-1.375515818431912E-3</v>
      </c>
      <c r="E38">
        <f>IF(E36&lt;0,D38,E35)</f>
        <v>-1.375515818431912E-3</v>
      </c>
      <c r="F38">
        <f t="shared" ref="F38:X38" si="3">IF(F36&lt;0,E38,F35)</f>
        <v>-1.375515818431912E-3</v>
      </c>
      <c r="G38">
        <f t="shared" si="3"/>
        <v>6.1921423658872078E-2</v>
      </c>
      <c r="H38">
        <f t="shared" si="3"/>
        <v>6.1921423658872078E-2</v>
      </c>
      <c r="I38">
        <f t="shared" si="3"/>
        <v>6.1921423658872078E-2</v>
      </c>
      <c r="J38">
        <f t="shared" si="3"/>
        <v>6.9833541093535081E-2</v>
      </c>
      <c r="K38">
        <f t="shared" si="3"/>
        <v>6.9833541093535081E-2</v>
      </c>
      <c r="L38">
        <f t="shared" si="3"/>
        <v>6.9833541093535081E-2</v>
      </c>
      <c r="M38">
        <f t="shared" si="3"/>
        <v>7.0822555772867946E-2</v>
      </c>
      <c r="N38">
        <f t="shared" si="3"/>
        <v>7.0822555772867946E-2</v>
      </c>
      <c r="O38">
        <f t="shared" si="3"/>
        <v>7.1069809442701165E-2</v>
      </c>
      <c r="P38">
        <f t="shared" si="3"/>
        <v>7.1069809442701165E-2</v>
      </c>
      <c r="Q38">
        <f t="shared" si="3"/>
        <v>7.1131622860159477E-2</v>
      </c>
      <c r="R38">
        <f t="shared" si="3"/>
        <v>7.1162529568888633E-2</v>
      </c>
      <c r="S38">
        <f t="shared" si="3"/>
        <v>7.1177982923253197E-2</v>
      </c>
      <c r="T38">
        <f t="shared" si="3"/>
        <v>7.1177982923253197E-2</v>
      </c>
      <c r="U38">
        <f t="shared" si="3"/>
        <v>7.1177982923253197E-2</v>
      </c>
      <c r="V38">
        <f t="shared" si="3"/>
        <v>7.1177982923253197E-2</v>
      </c>
      <c r="W38">
        <f t="shared" si="3"/>
        <v>7.1178948757900984E-2</v>
      </c>
      <c r="X38">
        <f t="shared" si="3"/>
        <v>7.1179431675224877E-2</v>
      </c>
    </row>
    <row r="39" spans="2:24" x14ac:dyDescent="0.35">
      <c r="C39" s="8" t="s">
        <v>19</v>
      </c>
      <c r="D39" s="13">
        <f>IF(D36&gt;0,D51,D35)</f>
        <v>0.505</v>
      </c>
      <c r="E39" s="9">
        <f>IF(E36&gt;0,D39,E35)</f>
        <v>0.25181224209078407</v>
      </c>
      <c r="F39" s="9">
        <f t="shared" ref="F39:X39" si="4">IF(F36&gt;0,E39,F35)</f>
        <v>0.12521836313617607</v>
      </c>
      <c r="G39" s="9">
        <f t="shared" si="4"/>
        <v>0.12521836313617607</v>
      </c>
      <c r="H39" s="9">
        <f t="shared" si="4"/>
        <v>9.356989339752407E-2</v>
      </c>
      <c r="I39" s="9">
        <f t="shared" si="4"/>
        <v>7.7745658528198078E-2</v>
      </c>
      <c r="J39" s="9">
        <f t="shared" si="4"/>
        <v>7.7745658528198078E-2</v>
      </c>
      <c r="K39" s="9">
        <f t="shared" si="4"/>
        <v>7.378959981086658E-2</v>
      </c>
      <c r="L39" s="9">
        <f t="shared" si="4"/>
        <v>7.1811570452200824E-2</v>
      </c>
      <c r="M39" s="9">
        <f t="shared" si="4"/>
        <v>7.1811570452200824E-2</v>
      </c>
      <c r="N39" s="9">
        <f t="shared" si="4"/>
        <v>7.1317063112534385E-2</v>
      </c>
      <c r="O39" s="9">
        <f t="shared" si="4"/>
        <v>7.1317063112534385E-2</v>
      </c>
      <c r="P39" s="9">
        <f t="shared" si="4"/>
        <v>7.1193436277617775E-2</v>
      </c>
      <c r="Q39" s="9">
        <f t="shared" si="4"/>
        <v>7.1193436277617775E-2</v>
      </c>
      <c r="R39" s="9">
        <f t="shared" si="4"/>
        <v>7.1193436277617775E-2</v>
      </c>
      <c r="S39" s="9">
        <f t="shared" si="4"/>
        <v>7.1193436277617775E-2</v>
      </c>
      <c r="T39" s="9">
        <f t="shared" si="4"/>
        <v>7.1185709600435493E-2</v>
      </c>
      <c r="U39" s="9">
        <f t="shared" si="4"/>
        <v>7.1181846261844345E-2</v>
      </c>
      <c r="V39" s="9">
        <f t="shared" si="4"/>
        <v>7.1179914592548771E-2</v>
      </c>
      <c r="W39" s="9">
        <f t="shared" si="4"/>
        <v>7.1179914592548771E-2</v>
      </c>
      <c r="X39" s="9">
        <f t="shared" si="4"/>
        <v>7.1179914592548771E-2</v>
      </c>
    </row>
    <row r="40" spans="2:24" x14ac:dyDescent="0.35">
      <c r="C40" s="11" t="s">
        <v>36</v>
      </c>
      <c r="D40" s="12"/>
    </row>
    <row r="41" spans="2:24" x14ac:dyDescent="0.35">
      <c r="C41" s="5" t="s">
        <v>33</v>
      </c>
      <c r="D41" s="12">
        <f>$H$29</f>
        <v>0.505</v>
      </c>
      <c r="E41" s="14">
        <f>D41-D42/D43</f>
        <v>-0.10241821670147533</v>
      </c>
      <c r="F41" s="14">
        <f t="shared" ref="F41:X41" si="5">E41-E42/E43</f>
        <v>-0.30785178218330311</v>
      </c>
      <c r="G41" s="14">
        <f t="shared" si="5"/>
        <v>-1.1012273621114759</v>
      </c>
      <c r="H41" s="14">
        <f t="shared" si="5"/>
        <v>-3.1893210156845093</v>
      </c>
      <c r="I41" s="14">
        <f t="shared" si="5"/>
        <v>-7.5091925587786834</v>
      </c>
      <c r="J41" s="14">
        <f t="shared" si="5"/>
        <v>-16.186188352912229</v>
      </c>
      <c r="K41" s="14">
        <f t="shared" si="5"/>
        <v>-33.553665022794249</v>
      </c>
      <c r="L41" s="14">
        <f t="shared" si="5"/>
        <v>-68.29439984390406</v>
      </c>
      <c r="M41" s="14">
        <f t="shared" si="5"/>
        <v>-137.77855199726093</v>
      </c>
      <c r="N41" s="14">
        <f t="shared" si="5"/>
        <v>-276.74814904512732</v>
      </c>
      <c r="O41" s="14">
        <f t="shared" si="5"/>
        <v>-554.68797779929525</v>
      </c>
      <c r="P41" s="14">
        <f t="shared" si="5"/>
        <v>-1110.567949759296</v>
      </c>
      <c r="Q41" s="14">
        <f t="shared" si="5"/>
        <v>-2222.3280501919558</v>
      </c>
      <c r="R41" s="14">
        <f t="shared" si="5"/>
        <v>-4445.8483291360817</v>
      </c>
      <c r="S41" s="14">
        <f t="shared" si="5"/>
        <v>-8892.8889260194519</v>
      </c>
      <c r="T41" s="14">
        <f t="shared" si="5"/>
        <v>-17786.970139272693</v>
      </c>
      <c r="U41" s="14">
        <f t="shared" si="5"/>
        <v>-35575.132575519659</v>
      </c>
      <c r="V41" s="14">
        <f t="shared" si="5"/>
        <v>-71151.457452883129</v>
      </c>
      <c r="W41" s="14">
        <f t="shared" si="5"/>
        <v>-142304.10721004469</v>
      </c>
      <c r="X41" s="14">
        <f t="shared" si="5"/>
        <v>-284609.40672558505</v>
      </c>
    </row>
    <row r="42" spans="2:24" x14ac:dyDescent="0.35">
      <c r="C42" s="5" t="s">
        <v>32</v>
      </c>
      <c r="D42" s="12" cm="1">
        <f t="array" ref="D42">RR_Eq($B$29,$C$29,$D$29,$E$29,D41)</f>
        <v>-1.1274626651646109</v>
      </c>
      <c r="E42" s="14" cm="1">
        <f t="array" ref="E42">RR_Eq($B$29,$C$29,$D$29,$E$29,E41)</f>
        <v>-1.2565578708616516</v>
      </c>
      <c r="F42" s="14" cm="1">
        <f t="array" ref="F42">RR_Eq($B$29,$C$29,$D$29,$E$29,F41)</f>
        <v>-0.78637362280871748</v>
      </c>
      <c r="G42" s="14" cm="1">
        <f t="array" ref="G42">RR_Eq($B$29,$C$29,$D$29,$E$29,G41)</f>
        <v>-0.45051903514172653</v>
      </c>
      <c r="H42" s="14" cm="1">
        <f t="array" ref="H42">RR_Eq($B$29,$C$29,$D$29,$E$29,H41)</f>
        <v>-0.22961770304314541</v>
      </c>
      <c r="I42" s="14" cm="1">
        <f t="array" ref="I42">RR_Eq($B$29,$C$29,$D$29,$E$29,I41)</f>
        <v>-0.11507381922288711</v>
      </c>
      <c r="J42" s="14" cm="1">
        <f t="array" ref="J42">RR_Eq($B$29,$C$29,$D$29,$E$29,J41)</f>
        <v>-5.7560026720946546E-2</v>
      </c>
      <c r="K42" s="14" cm="1">
        <f t="array" ref="K42">RR_Eq($B$29,$C$29,$D$29,$E$29,K41)</f>
        <v>-2.8782448310024373E-2</v>
      </c>
      <c r="L42" s="14" cm="1">
        <f t="array" ref="L42">RR_Eq($B$29,$C$29,$D$29,$E$29,L41)</f>
        <v>-1.4391504235218852E-2</v>
      </c>
      <c r="M42" s="14" cm="1">
        <f t="array" ref="M42">RR_Eq($B$29,$C$29,$D$29,$E$29,M41)</f>
        <v>-7.1957857225850991E-3</v>
      </c>
      <c r="N42" s="14" cm="1">
        <f t="array" ref="N42">RR_Eq($B$29,$C$29,$D$29,$E$29,N41)</f>
        <v>-3.5978969774014373E-3</v>
      </c>
      <c r="O42" s="14" cm="1">
        <f t="array" ref="O42">RR_Eq($B$29,$C$29,$D$29,$E$29,O41)</f>
        <v>-1.7989489980320802E-3</v>
      </c>
      <c r="P42" s="14" cm="1">
        <f t="array" ref="P42">RR_Eq($B$29,$C$29,$D$29,$E$29,P41)</f>
        <v>-8.9947456236163755E-4</v>
      </c>
      <c r="Q42" s="14" cm="1">
        <f t="array" ref="Q42">RR_Eq($B$29,$C$29,$D$29,$E$29,Q41)</f>
        <v>-4.4973728907906203E-4</v>
      </c>
      <c r="R42" s="14" cm="1">
        <f t="array" ref="R42">RR_Eq($B$29,$C$29,$D$29,$E$29,R41)</f>
        <v>-2.2486864552556714E-4</v>
      </c>
      <c r="S42" s="14" cm="1">
        <f t="array" ref="S42">RR_Eq($B$29,$C$29,$D$29,$E$29,S41)</f>
        <v>-1.1243432288596042E-4</v>
      </c>
      <c r="T42" s="14" cm="1">
        <f t="array" ref="T42">RR_Eq($B$29,$C$29,$D$29,$E$29,T41)</f>
        <v>-5.6217161458372456E-5</v>
      </c>
      <c r="U42" s="14" cm="1">
        <f t="array" ref="U42">RR_Eq($B$29,$C$29,$D$29,$E$29,U41)</f>
        <v>-2.8108580731109959E-5</v>
      </c>
      <c r="V42" s="14" cm="1">
        <f t="array" ref="V42">RR_Eq($B$29,$C$29,$D$29,$E$29,V41)</f>
        <v>-1.4054290365795432E-5</v>
      </c>
      <c r="W42" s="14" cm="1">
        <f t="array" ref="W42">RR_Eq($B$29,$C$29,$D$29,$E$29,W41)</f>
        <v>-7.0271451829277694E-6</v>
      </c>
      <c r="X42" s="14" cm="1">
        <f t="array" ref="X42">RR_Eq($B$29,$C$29,$D$29,$E$29,X41)</f>
        <v>-3.5135725914676421E-6</v>
      </c>
    </row>
    <row r="43" spans="2:24" x14ac:dyDescent="0.35">
      <c r="C43" s="5" t="s">
        <v>39</v>
      </c>
      <c r="D43" s="12" cm="1">
        <f t="array" ref="D43">RR_Der($B$29,$C$29,$D$29,$E$29,D41)</f>
        <v>-1.8561555023607714</v>
      </c>
      <c r="E43" s="14" cm="1">
        <f t="array" ref="E43">RR_Der($B$29,$C$29,$D$29,$E$29,E41)</f>
        <v>-6.116614234458214</v>
      </c>
      <c r="F43" s="14" cm="1">
        <f t="array" ref="F43">RR_Der($B$29,$C$29,$D$29,$E$29,F41)</f>
        <v>-0.99117447360796107</v>
      </c>
      <c r="G43" s="14" cm="1">
        <f t="array" ref="G43">RR_Der($B$29,$C$29,$D$29,$E$29,G41)</f>
        <v>-0.21575614406510099</v>
      </c>
      <c r="H43" s="14" cm="1">
        <f t="array" ref="H43">RR_Der($B$29,$C$29,$D$29,$E$29,H41)</f>
        <v>-5.3153826624825561E-2</v>
      </c>
      <c r="I43" s="14" cm="1">
        <f t="array" ref="I43">RR_Der($B$29,$C$29,$D$29,$E$29,I41)</f>
        <v>-1.3261942491742092E-2</v>
      </c>
      <c r="J43" s="14" cm="1">
        <f t="array" ref="J43">RR_Der($B$29,$C$29,$D$29,$E$29,J41)</f>
        <v>-3.3142423516690153E-3</v>
      </c>
      <c r="K43" s="14" cm="1">
        <f t="array" ref="K43">RR_Der($B$29,$C$29,$D$29,$E$29,K41)</f>
        <v>-8.284927897534006E-4</v>
      </c>
      <c r="L43" s="14" cm="1">
        <f t="array" ref="L43">RR_Der($B$29,$C$29,$D$29,$E$29,L41)</f>
        <v>-2.0711923207259827E-4</v>
      </c>
      <c r="M43" s="14" cm="1">
        <f t="array" ref="M43">RR_Der($B$29,$C$29,$D$29,$E$29,M41)</f>
        <v>-5.1779568160556722E-5</v>
      </c>
      <c r="N43" s="14" cm="1">
        <f t="array" ref="N43">RR_Der($B$29,$C$29,$D$29,$E$29,N41)</f>
        <v>-1.2944877290630063E-5</v>
      </c>
      <c r="O43" s="14" cm="1">
        <f t="array" ref="O43">RR_Der($B$29,$C$29,$D$29,$E$29,O41)</f>
        <v>-3.2362184082457407E-6</v>
      </c>
      <c r="P43" s="14" cm="1">
        <f t="array" ref="P43">RR_Der($B$29,$C$29,$D$29,$E$29,P41)</f>
        <v>-8.0905454514116141E-7</v>
      </c>
      <c r="Q43" s="14" cm="1">
        <f t="array" ref="Q43">RR_Der($B$29,$C$29,$D$29,$E$29,Q41)</f>
        <v>-2.022636327349472E-7</v>
      </c>
      <c r="R43" s="14" cm="1">
        <f t="array" ref="R43">RR_Der($B$29,$C$29,$D$29,$E$29,R41)</f>
        <v>-5.0565907962064115E-8</v>
      </c>
      <c r="S43" s="14" cm="1">
        <f t="array" ref="S43">RR_Der($B$29,$C$29,$D$29,$E$29,S41)</f>
        <v>-1.2641476976668471E-8</v>
      </c>
      <c r="T43" s="14" cm="1">
        <f t="array" ref="T43">RR_Der($B$29,$C$29,$D$29,$E$29,T41)</f>
        <v>-3.1603692433018637E-9</v>
      </c>
      <c r="U43" s="14" cm="1">
        <f t="array" ref="U43">RR_Der($B$29,$C$29,$D$29,$E$29,U41)</f>
        <v>-7.9009231077139448E-10</v>
      </c>
      <c r="V43" s="14" cm="1">
        <f t="array" ref="V43">RR_Der($B$29,$C$29,$D$29,$E$29,V41)</f>
        <v>-1.9752307768946946E-10</v>
      </c>
      <c r="W43" s="14" cm="1">
        <f t="array" ref="W43">RR_Der($B$29,$C$29,$D$29,$E$29,W41)</f>
        <v>-4.9380769422156162E-11</v>
      </c>
      <c r="X43" s="14" cm="1">
        <f t="array" ref="X43">RR_Der($B$29,$C$29,$D$29,$E$29,X41)</f>
        <v>-1.2345192355525843E-11</v>
      </c>
    </row>
    <row r="44" spans="2:24" x14ac:dyDescent="0.35">
      <c r="C44" s="8" t="s">
        <v>38</v>
      </c>
      <c r="D44" s="13">
        <f>ABS(D42)</f>
        <v>1.1274626651646109</v>
      </c>
      <c r="E44" s="9">
        <f>ABS(E42)</f>
        <v>1.2565578708616516</v>
      </c>
      <c r="F44" s="9">
        <f t="shared" ref="F44:X44" si="6">ABS(F42)</f>
        <v>0.78637362280871748</v>
      </c>
      <c r="G44" s="9">
        <f t="shared" si="6"/>
        <v>0.45051903514172653</v>
      </c>
      <c r="H44" s="9">
        <f t="shared" si="6"/>
        <v>0.22961770304314541</v>
      </c>
      <c r="I44" s="9">
        <f t="shared" si="6"/>
        <v>0.11507381922288711</v>
      </c>
      <c r="J44" s="9">
        <f t="shared" si="6"/>
        <v>5.7560026720946546E-2</v>
      </c>
      <c r="K44" s="9">
        <f t="shared" si="6"/>
        <v>2.8782448310024373E-2</v>
      </c>
      <c r="L44" s="9">
        <f t="shared" si="6"/>
        <v>1.4391504235218852E-2</v>
      </c>
      <c r="M44" s="9">
        <f t="shared" si="6"/>
        <v>7.1957857225850991E-3</v>
      </c>
      <c r="N44" s="9">
        <f t="shared" si="6"/>
        <v>3.5978969774014373E-3</v>
      </c>
      <c r="O44" s="9">
        <f t="shared" si="6"/>
        <v>1.7989489980320802E-3</v>
      </c>
      <c r="P44" s="9">
        <f t="shared" si="6"/>
        <v>8.9947456236163755E-4</v>
      </c>
      <c r="Q44" s="9">
        <f t="shared" si="6"/>
        <v>4.4973728907906203E-4</v>
      </c>
      <c r="R44" s="9">
        <f t="shared" si="6"/>
        <v>2.2486864552556714E-4</v>
      </c>
      <c r="S44" s="9">
        <f t="shared" si="6"/>
        <v>1.1243432288596042E-4</v>
      </c>
      <c r="T44" s="9">
        <f t="shared" si="6"/>
        <v>5.6217161458372456E-5</v>
      </c>
      <c r="U44" s="9">
        <f t="shared" si="6"/>
        <v>2.8108580731109959E-5</v>
      </c>
      <c r="V44" s="9">
        <f t="shared" si="6"/>
        <v>1.4054290365795432E-5</v>
      </c>
      <c r="W44" s="9">
        <f t="shared" si="6"/>
        <v>7.0271451829277694E-6</v>
      </c>
      <c r="X44" s="9">
        <f t="shared" si="6"/>
        <v>3.5135725914676421E-6</v>
      </c>
    </row>
    <row r="45" spans="2:24" x14ac:dyDescent="0.35">
      <c r="C45" s="11" t="s">
        <v>37</v>
      </c>
      <c r="D45" s="12"/>
    </row>
    <row r="46" spans="2:24" x14ac:dyDescent="0.35">
      <c r="C46" s="5" t="s">
        <v>33</v>
      </c>
      <c r="D46" s="12">
        <f>$H$29</f>
        <v>0.505</v>
      </c>
      <c r="E46">
        <f t="shared" ref="E46:X46" si="7">IF(AND(D46-D47/D48 &gt;=D50,D46-D47/D48 &lt;=D51),D46-D47/D48,IF(D46-D47/D48&gt;=D51,(D46+D51)/2,(D46+D50)/2))</f>
        <v>0.25181224209078407</v>
      </c>
      <c r="F46">
        <f t="shared" si="7"/>
        <v>0.12521836313617607</v>
      </c>
      <c r="G46">
        <f t="shared" si="7"/>
        <v>3.8137118865314665E-2</v>
      </c>
      <c r="H46">
        <f t="shared" si="7"/>
        <v>5.6399631784858142E-2</v>
      </c>
      <c r="I46">
        <f t="shared" si="7"/>
        <v>6.8284762364536275E-2</v>
      </c>
      <c r="J46">
        <f t="shared" si="7"/>
        <v>7.1070850155656895E-2</v>
      </c>
      <c r="K46">
        <f t="shared" si="7"/>
        <v>7.1179747316842734E-2</v>
      </c>
      <c r="L46">
        <f t="shared" si="7"/>
        <v>7.1179901288251843E-2</v>
      </c>
      <c r="M46">
        <f t="shared" si="7"/>
        <v>7.1179901288558722E-2</v>
      </c>
      <c r="N46">
        <f t="shared" si="7"/>
        <v>7.1179901288558736E-2</v>
      </c>
      <c r="O46">
        <f t="shared" si="7"/>
        <v>7.1179901288558736E-2</v>
      </c>
      <c r="P46">
        <f t="shared" si="7"/>
        <v>7.1179901288558736E-2</v>
      </c>
      <c r="Q46">
        <f t="shared" si="7"/>
        <v>7.1179901288558736E-2</v>
      </c>
      <c r="R46">
        <f t="shared" si="7"/>
        <v>7.1179901288558736E-2</v>
      </c>
      <c r="S46">
        <f t="shared" si="7"/>
        <v>7.1179901288558736E-2</v>
      </c>
      <c r="T46">
        <f t="shared" si="7"/>
        <v>7.1179901288558736E-2</v>
      </c>
      <c r="U46">
        <f t="shared" si="7"/>
        <v>7.1179901288558736E-2</v>
      </c>
      <c r="V46">
        <f t="shared" si="7"/>
        <v>7.1179901288558736E-2</v>
      </c>
      <c r="W46">
        <f t="shared" si="7"/>
        <v>7.1179901288558736E-2</v>
      </c>
      <c r="X46">
        <f t="shared" si="7"/>
        <v>7.1179901288558736E-2</v>
      </c>
    </row>
    <row r="47" spans="2:24" x14ac:dyDescent="0.35">
      <c r="C47" s="5" t="s">
        <v>32</v>
      </c>
      <c r="D47" s="12" cm="1">
        <f t="array" ref="D47">RR_Eq($B$29,$C$29,$D$29,$E$29,D46)</f>
        <v>-1.1274626651646109</v>
      </c>
      <c r="E47" cm="1">
        <f t="array" ref="E47">RR_Eq($B$29,$C$29,$D$29,$E$29,E46)</f>
        <v>-0.70424208427729562</v>
      </c>
      <c r="F47" cm="1">
        <f t="array" ref="F47">RR_Eq($B$29,$C$29,$D$29,$E$29,F46)</f>
        <v>-0.37455978922219735</v>
      </c>
      <c r="G47" cm="1">
        <f t="array" ref="G47">RR_Eq($B$29,$C$29,$D$29,$E$29,G46)</f>
        <v>0.68170016871892636</v>
      </c>
      <c r="H47" cm="1">
        <f t="array" ref="H47">RR_Eq($B$29,$C$29,$D$29,$E$29,H46)</f>
        <v>0.21169378681685114</v>
      </c>
      <c r="I47" cm="1">
        <f t="array" ref="I47">RR_Eq($B$29,$C$29,$D$29,$E$29,I46)</f>
        <v>3.4733089835565556E-2</v>
      </c>
      <c r="J47" cm="1">
        <f t="array" ref="J47">RR_Eq($B$29,$C$29,$D$29,$E$29,J46)</f>
        <v>1.2609131501113424E-3</v>
      </c>
      <c r="K47" cm="1">
        <f t="array" ref="K47">RR_Eq($B$29,$C$29,$D$29,$E$29,K46)</f>
        <v>1.7778014013147825E-6</v>
      </c>
      <c r="L47" cm="1">
        <f t="array" ref="L47">RR_Eq($B$29,$C$29,$D$29,$E$29,L46)</f>
        <v>3.5433878053936496E-12</v>
      </c>
      <c r="M47" cm="1">
        <f t="array" ref="M47">RR_Eq($B$29,$C$29,$D$29,$E$29,M46)</f>
        <v>1.1102230246251565E-16</v>
      </c>
      <c r="N47" cm="1">
        <f t="array" ref="N47">RR_Eq($B$29,$C$29,$D$29,$E$29,N46)</f>
        <v>0</v>
      </c>
      <c r="O47" cm="1">
        <f t="array" ref="O47">RR_Eq($B$29,$C$29,$D$29,$E$29,O46)</f>
        <v>0</v>
      </c>
      <c r="P47" cm="1">
        <f t="array" ref="P47">RR_Eq($B$29,$C$29,$D$29,$E$29,P46)</f>
        <v>0</v>
      </c>
      <c r="Q47" cm="1">
        <f t="array" ref="Q47">RR_Eq($B$29,$C$29,$D$29,$E$29,Q46)</f>
        <v>0</v>
      </c>
      <c r="R47" cm="1">
        <f t="array" ref="R47">RR_Eq($B$29,$C$29,$D$29,$E$29,R46)</f>
        <v>0</v>
      </c>
      <c r="S47" cm="1">
        <f t="array" ref="S47">RR_Eq($B$29,$C$29,$D$29,$E$29,S46)</f>
        <v>0</v>
      </c>
      <c r="T47" cm="1">
        <f t="array" ref="T47">RR_Eq($B$29,$C$29,$D$29,$E$29,T46)</f>
        <v>0</v>
      </c>
      <c r="U47" cm="1">
        <f t="array" ref="U47">RR_Eq($B$29,$C$29,$D$29,$E$29,U46)</f>
        <v>0</v>
      </c>
      <c r="V47" cm="1">
        <f t="array" ref="V47">RR_Eq($B$29,$C$29,$D$29,$E$29,V46)</f>
        <v>0</v>
      </c>
      <c r="W47" cm="1">
        <f t="array" ref="W47">RR_Eq($B$29,$C$29,$D$29,$E$29,W46)</f>
        <v>0</v>
      </c>
      <c r="X47" cm="1">
        <f t="array" ref="X47">RR_Eq($B$29,$C$29,$D$29,$E$29,X46)</f>
        <v>0</v>
      </c>
    </row>
    <row r="48" spans="2:24" x14ac:dyDescent="0.35">
      <c r="C48" s="5" t="s">
        <v>39</v>
      </c>
      <c r="D48" s="12" cm="1">
        <f t="array" ref="D48">RR_Der($B$29,$C$29,$D$29,$E$29,D46)</f>
        <v>-1.8561555023607714</v>
      </c>
      <c r="E48" cm="1">
        <f t="array" ref="E48">RR_Der($B$29,$C$29,$D$29,$E$29,E46)</f>
        <v>-1.8124285291662403</v>
      </c>
      <c r="F48" cm="1">
        <f t="array" ref="F48">RR_Der($B$29,$C$29,$D$29,$E$29,F46)</f>
        <v>-4.3012682278304357</v>
      </c>
      <c r="G48" cm="1">
        <f t="array" ref="G48">RR_Der($B$29,$C$29,$D$29,$E$29,G46)</f>
        <v>-37.327840463259051</v>
      </c>
      <c r="H48" cm="1">
        <f t="array" ref="H48">RR_Der($B$29,$C$29,$D$29,$E$29,H46)</f>
        <v>-17.811650061196385</v>
      </c>
      <c r="I48" cm="1">
        <f t="array" ref="I48">RR_Der($B$29,$C$29,$D$29,$E$29,I46)</f>
        <v>-12.466617149058019</v>
      </c>
      <c r="J48" cm="1">
        <f t="array" ref="J48">RR_Der($B$29,$C$29,$D$29,$E$29,J46)</f>
        <v>-11.578934991330865</v>
      </c>
      <c r="K48" cm="1">
        <f t="array" ref="K48">RR_Der($B$29,$C$29,$D$29,$E$29,K46)</f>
        <v>-11.546308575501428</v>
      </c>
      <c r="L48" cm="1">
        <f t="array" ref="L48">RR_Der($B$29,$C$29,$D$29,$E$29,L46)</f>
        <v>-11.546262548883481</v>
      </c>
      <c r="M48" cm="1">
        <f t="array" ref="M48">RR_Der($B$29,$C$29,$D$29,$E$29,M46)</f>
        <v>-11.546262548791743</v>
      </c>
      <c r="N48" cm="1">
        <f t="array" ref="N48">RR_Der($B$29,$C$29,$D$29,$E$29,N46)</f>
        <v>-11.54626254879174</v>
      </c>
      <c r="O48" cm="1">
        <f t="array" ref="O48">RR_Der($B$29,$C$29,$D$29,$E$29,O46)</f>
        <v>-11.54626254879174</v>
      </c>
      <c r="P48" cm="1">
        <f t="array" ref="P48">RR_Der($B$29,$C$29,$D$29,$E$29,P46)</f>
        <v>-11.54626254879174</v>
      </c>
      <c r="Q48" cm="1">
        <f t="array" ref="Q48">RR_Der($B$29,$C$29,$D$29,$E$29,Q46)</f>
        <v>-11.54626254879174</v>
      </c>
      <c r="R48" cm="1">
        <f t="array" ref="R48">RR_Der($B$29,$C$29,$D$29,$E$29,R46)</f>
        <v>-11.54626254879174</v>
      </c>
      <c r="S48" cm="1">
        <f t="array" ref="S48">RR_Der($B$29,$C$29,$D$29,$E$29,S46)</f>
        <v>-11.54626254879174</v>
      </c>
      <c r="T48" cm="1">
        <f t="array" ref="T48">RR_Der($B$29,$C$29,$D$29,$E$29,T46)</f>
        <v>-11.54626254879174</v>
      </c>
      <c r="U48" cm="1">
        <f t="array" ref="U48">RR_Der($B$29,$C$29,$D$29,$E$29,U46)</f>
        <v>-11.54626254879174</v>
      </c>
      <c r="V48" cm="1">
        <f t="array" ref="V48">RR_Der($B$29,$C$29,$D$29,$E$29,V46)</f>
        <v>-11.54626254879174</v>
      </c>
      <c r="W48" cm="1">
        <f t="array" ref="W48">RR_Der($B$29,$C$29,$D$29,$E$29,W46)</f>
        <v>-11.54626254879174</v>
      </c>
      <c r="X48" cm="1">
        <f t="array" ref="X48">RR_Der($B$29,$C$29,$D$29,$E$29,X46)</f>
        <v>-11.54626254879174</v>
      </c>
    </row>
    <row r="49" spans="3:24" x14ac:dyDescent="0.35">
      <c r="C49" s="5" t="s">
        <v>38</v>
      </c>
      <c r="D49" s="12">
        <f>ABS(D47)</f>
        <v>1.1274626651646109</v>
      </c>
      <c r="E49">
        <f>ABS(E47)</f>
        <v>0.70424208427729562</v>
      </c>
      <c r="F49">
        <f t="shared" ref="F49:X49" si="8">ABS(F47)</f>
        <v>0.37455978922219735</v>
      </c>
      <c r="G49">
        <f t="shared" si="8"/>
        <v>0.68170016871892636</v>
      </c>
      <c r="H49">
        <f t="shared" si="8"/>
        <v>0.21169378681685114</v>
      </c>
      <c r="I49">
        <f t="shared" si="8"/>
        <v>3.4733089835565556E-2</v>
      </c>
      <c r="J49">
        <f t="shared" si="8"/>
        <v>1.2609131501113424E-3</v>
      </c>
      <c r="K49">
        <f t="shared" si="8"/>
        <v>1.7778014013147825E-6</v>
      </c>
      <c r="L49">
        <f t="shared" si="8"/>
        <v>3.5433878053936496E-12</v>
      </c>
      <c r="M49">
        <f t="shared" si="8"/>
        <v>1.1102230246251565E-16</v>
      </c>
      <c r="N49">
        <f t="shared" si="8"/>
        <v>0</v>
      </c>
      <c r="O49">
        <f t="shared" si="8"/>
        <v>0</v>
      </c>
      <c r="P49">
        <f t="shared" si="8"/>
        <v>0</v>
      </c>
      <c r="Q49">
        <f t="shared" si="8"/>
        <v>0</v>
      </c>
      <c r="R49">
        <f t="shared" si="8"/>
        <v>0</v>
      </c>
      <c r="S49">
        <f t="shared" si="8"/>
        <v>0</v>
      </c>
      <c r="T49">
        <f t="shared" si="8"/>
        <v>0</v>
      </c>
      <c r="U49">
        <f t="shared" si="8"/>
        <v>0</v>
      </c>
      <c r="V49">
        <f t="shared" si="8"/>
        <v>0</v>
      </c>
      <c r="W49">
        <f t="shared" si="8"/>
        <v>0</v>
      </c>
      <c r="X49">
        <f t="shared" si="8"/>
        <v>0</v>
      </c>
    </row>
    <row r="50" spans="3:24" x14ac:dyDescent="0.35">
      <c r="C50" s="5" t="s">
        <v>18</v>
      </c>
      <c r="D50" s="12">
        <f>IF($I$29="negative flash",$L$29,IF($I$29="Leibovici-Neoschil",$N$29,IF($I$29="Nichita-Leibovici",$P$29,0)))</f>
        <v>-1.375515818431912E-3</v>
      </c>
      <c r="E50">
        <f>IF(E47&lt;0,D50,E46)</f>
        <v>-1.375515818431912E-3</v>
      </c>
      <c r="F50">
        <f t="shared" ref="F50:X50" si="9">IF(F47&lt;0,E50,F46)</f>
        <v>-1.375515818431912E-3</v>
      </c>
      <c r="G50">
        <f t="shared" si="9"/>
        <v>3.8137118865314665E-2</v>
      </c>
      <c r="H50">
        <f t="shared" si="9"/>
        <v>5.6399631784858142E-2</v>
      </c>
      <c r="I50">
        <f t="shared" si="9"/>
        <v>6.8284762364536275E-2</v>
      </c>
      <c r="J50">
        <f t="shared" si="9"/>
        <v>7.1070850155656895E-2</v>
      </c>
      <c r="K50">
        <f t="shared" si="9"/>
        <v>7.1179747316842734E-2</v>
      </c>
      <c r="L50">
        <f t="shared" si="9"/>
        <v>7.1179901288251843E-2</v>
      </c>
      <c r="M50">
        <f t="shared" si="9"/>
        <v>7.1179901288558722E-2</v>
      </c>
      <c r="N50">
        <f t="shared" si="9"/>
        <v>7.1179901288558736E-2</v>
      </c>
      <c r="O50">
        <f t="shared" si="9"/>
        <v>7.1179901288558736E-2</v>
      </c>
      <c r="P50">
        <f t="shared" si="9"/>
        <v>7.1179901288558736E-2</v>
      </c>
      <c r="Q50">
        <f t="shared" si="9"/>
        <v>7.1179901288558736E-2</v>
      </c>
      <c r="R50">
        <f t="shared" si="9"/>
        <v>7.1179901288558736E-2</v>
      </c>
      <c r="S50">
        <f t="shared" si="9"/>
        <v>7.1179901288558736E-2</v>
      </c>
      <c r="T50">
        <f t="shared" si="9"/>
        <v>7.1179901288558736E-2</v>
      </c>
      <c r="U50">
        <f t="shared" si="9"/>
        <v>7.1179901288558736E-2</v>
      </c>
      <c r="V50">
        <f t="shared" si="9"/>
        <v>7.1179901288558736E-2</v>
      </c>
      <c r="W50">
        <f t="shared" si="9"/>
        <v>7.1179901288558736E-2</v>
      </c>
      <c r="X50">
        <f t="shared" si="9"/>
        <v>7.1179901288558736E-2</v>
      </c>
    </row>
    <row r="51" spans="3:24" x14ac:dyDescent="0.35">
      <c r="C51" s="8" t="s">
        <v>19</v>
      </c>
      <c r="D51" s="13">
        <f>IF($I$29="negative flash",$M$29,IF($I$29="Leibovici-Neoschil",$O$29,IF($I$29="Nichita-Leibovici",$Q$29,0)))</f>
        <v>1.2648621300278271</v>
      </c>
      <c r="E51" s="9">
        <f>IF(E47&gt;0,D51,E46)</f>
        <v>0.25181224209078407</v>
      </c>
      <c r="F51" s="9">
        <f t="shared" ref="F51:X51" si="10">IF(F47&gt;0,E51,F46)</f>
        <v>0.12521836313617607</v>
      </c>
      <c r="G51" s="9">
        <f t="shared" si="10"/>
        <v>0.12521836313617607</v>
      </c>
      <c r="H51" s="9">
        <f t="shared" si="10"/>
        <v>0.12521836313617607</v>
      </c>
      <c r="I51" s="9">
        <f t="shared" si="10"/>
        <v>0.12521836313617607</v>
      </c>
      <c r="J51" s="9">
        <f t="shared" si="10"/>
        <v>0.12521836313617607</v>
      </c>
      <c r="K51" s="9">
        <f t="shared" si="10"/>
        <v>0.12521836313617607</v>
      </c>
      <c r="L51" s="9">
        <f t="shared" si="10"/>
        <v>0.12521836313617607</v>
      </c>
      <c r="M51" s="9">
        <f t="shared" si="10"/>
        <v>0.12521836313617607</v>
      </c>
      <c r="N51" s="9">
        <f t="shared" si="10"/>
        <v>7.1179901288558736E-2</v>
      </c>
      <c r="O51" s="9">
        <f t="shared" si="10"/>
        <v>7.1179901288558736E-2</v>
      </c>
      <c r="P51" s="9">
        <f t="shared" si="10"/>
        <v>7.1179901288558736E-2</v>
      </c>
      <c r="Q51" s="9">
        <f t="shared" si="10"/>
        <v>7.1179901288558736E-2</v>
      </c>
      <c r="R51" s="9">
        <f t="shared" si="10"/>
        <v>7.1179901288558736E-2</v>
      </c>
      <c r="S51" s="9">
        <f t="shared" si="10"/>
        <v>7.1179901288558736E-2</v>
      </c>
      <c r="T51" s="9">
        <f t="shared" si="10"/>
        <v>7.1179901288558736E-2</v>
      </c>
      <c r="U51" s="9">
        <f t="shared" si="10"/>
        <v>7.1179901288558736E-2</v>
      </c>
      <c r="V51" s="9">
        <f t="shared" si="10"/>
        <v>7.1179901288558736E-2</v>
      </c>
      <c r="W51" s="9">
        <f t="shared" si="10"/>
        <v>7.1179901288558736E-2</v>
      </c>
      <c r="X51" s="9">
        <f t="shared" si="10"/>
        <v>7.1179901288558736E-2</v>
      </c>
    </row>
  </sheetData>
  <mergeCells count="4">
    <mergeCell ref="B20:I20"/>
    <mergeCell ref="B23:I23"/>
    <mergeCell ref="K23:R23"/>
    <mergeCell ref="K20:R20"/>
  </mergeCells>
  <conditionalFormatting sqref="H29">
    <cfRule type="expression" dxfId="3" priority="3">
      <formula>IF($G$29="midpoint",1,0)</formula>
    </cfRule>
    <cfRule type="expression" dxfId="2" priority="4">
      <formula>IF($G$29="custom",1,0)</formula>
    </cfRule>
  </conditionalFormatting>
  <conditionalFormatting sqref="D41:X41">
    <cfRule type="cellIs" dxfId="0" priority="2" operator="greaterThan">
      <formula>$M$29</formula>
    </cfRule>
    <cfRule type="cellIs" dxfId="1" priority="1" operator="lessThan">
      <formula>$L$29</formula>
    </cfRule>
  </conditionalFormatting>
  <dataValidations count="2">
    <dataValidation type="list" allowBlank="1" showInputMessage="1" showErrorMessage="1" sqref="I29" xr:uid="{BEFDFE29-98B7-4502-A609-EC3B27C567DA}">
      <formula1>$U$24:$U$26</formula1>
    </dataValidation>
    <dataValidation type="list" allowBlank="1" showInputMessage="1" showErrorMessage="1" sqref="G29" xr:uid="{33CEBFBE-D758-44FC-AF85-E688392C8265}">
      <formula1>$T$24:$T$26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ScrollBar4">
          <controlPr defaultSize="0" autoLine="0" linkedCell="N21" r:id="rId5">
            <anchor moveWithCells="1">
              <from>
                <xdr:col>10</xdr:col>
                <xdr:colOff>0</xdr:colOff>
                <xdr:row>20</xdr:row>
                <xdr:rowOff>6350</xdr:rowOff>
              </from>
              <to>
                <xdr:col>17</xdr:col>
                <xdr:colOff>603250</xdr:colOff>
                <xdr:row>21</xdr:row>
                <xdr:rowOff>19050</xdr:rowOff>
              </to>
            </anchor>
          </controlPr>
        </control>
      </mc:Choice>
      <mc:Fallback>
        <control shapeId="1035" r:id="rId4" name="ScrollBar4"/>
      </mc:Fallback>
    </mc:AlternateContent>
    <mc:AlternateContent xmlns:mc="http://schemas.openxmlformats.org/markup-compatibility/2006">
      <mc:Choice Requires="x14">
        <control shapeId="1034" r:id="rId6" name="ScrollBar2">
          <controlPr defaultSize="0" autoLine="0" linkedCell="M21" r:id="rId7">
            <anchor moveWithCells="1">
              <from>
                <xdr:col>10</xdr:col>
                <xdr:colOff>0</xdr:colOff>
                <xdr:row>22</xdr:row>
                <xdr:rowOff>298450</xdr:rowOff>
              </from>
              <to>
                <xdr:col>18</xdr:col>
                <xdr:colOff>12700</xdr:colOff>
                <xdr:row>24</xdr:row>
                <xdr:rowOff>6350</xdr:rowOff>
              </to>
            </anchor>
          </controlPr>
        </control>
      </mc:Choice>
      <mc:Fallback>
        <control shapeId="1034" r:id="rId6" name="ScrollBar2"/>
      </mc:Fallback>
    </mc:AlternateContent>
    <mc:AlternateContent xmlns:mc="http://schemas.openxmlformats.org/markup-compatibility/2006">
      <mc:Choice Requires="x14">
        <control shapeId="1032" r:id="rId8" name="ScrollBar3">
          <controlPr defaultSize="0" autoLine="0" linkedCell="L21" r:id="rId9">
            <anchor moveWithCells="1">
              <from>
                <xdr:col>1</xdr:col>
                <xdr:colOff>0</xdr:colOff>
                <xdr:row>22</xdr:row>
                <xdr:rowOff>298450</xdr:rowOff>
              </from>
              <to>
                <xdr:col>8</xdr:col>
                <xdr:colOff>381000</xdr:colOff>
                <xdr:row>24</xdr:row>
                <xdr:rowOff>6350</xdr:rowOff>
              </to>
            </anchor>
          </controlPr>
        </control>
      </mc:Choice>
      <mc:Fallback>
        <control shapeId="1032" r:id="rId8" name="ScrollBar3"/>
      </mc:Fallback>
    </mc:AlternateContent>
    <mc:AlternateContent xmlns:mc="http://schemas.openxmlformats.org/markup-compatibility/2006">
      <mc:Choice Requires="x14">
        <control shapeId="1030" r:id="rId10" name="ScrollBar1">
          <controlPr defaultSize="0" autoLine="0" autoPict="0" linkedCell="K21" r:id="rId11">
            <anchor moveWithCells="1">
              <from>
                <xdr:col>1</xdr:col>
                <xdr:colOff>0</xdr:colOff>
                <xdr:row>19</xdr:row>
                <xdr:rowOff>298450</xdr:rowOff>
              </from>
              <to>
                <xdr:col>8</xdr:col>
                <xdr:colOff>361950</xdr:colOff>
                <xdr:row>21</xdr:row>
                <xdr:rowOff>6350</xdr:rowOff>
              </to>
            </anchor>
          </controlPr>
        </control>
      </mc:Choice>
      <mc:Fallback>
        <control shapeId="1030" r:id="rId10" name="Scroll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60EF0-4630-433E-A289-4DF7C8D14B09}">
  <sheetPr codeName="Sheet2"/>
  <dimension ref="A2:C1002"/>
  <sheetViews>
    <sheetView workbookViewId="0">
      <selection activeCell="B3" sqref="B3"/>
    </sheetView>
  </sheetViews>
  <sheetFormatPr defaultRowHeight="14.5" x14ac:dyDescent="0.35"/>
  <sheetData>
    <row r="2" spans="1:3" x14ac:dyDescent="0.35">
      <c r="B2" t="s">
        <v>33</v>
      </c>
      <c r="C2" t="s">
        <v>34</v>
      </c>
    </row>
    <row r="3" spans="1:3" x14ac:dyDescent="0.35">
      <c r="A3">
        <v>1</v>
      </c>
      <c r="B3">
        <f>'Rachford-Rice-Solution'!L29</f>
        <v>-1.375515818431912E-3</v>
      </c>
    </row>
    <row r="4" spans="1:3" x14ac:dyDescent="0.35">
      <c r="A4">
        <v>2</v>
      </c>
      <c r="B4">
        <f>B3+('Rachford-Rice-Solution'!$M$29-'Rachford-Rice-Solution'!$L$29)/999</f>
        <v>-1.0801066743465568E-4</v>
      </c>
      <c r="C4" cm="1">
        <f t="array" ref="C4">RR_Eq('Rachford-Rice-Solution'!$B$29,'Rachford-Rice-Solution'!$C$29,'Rachford-Rice-Solution'!$D$29,'Rachford-Rice-Solution'!$E$29,B4)</f>
        <v>44.461681893208549</v>
      </c>
    </row>
    <row r="5" spans="1:3" x14ac:dyDescent="0.35">
      <c r="A5">
        <v>3</v>
      </c>
      <c r="B5">
        <f>B4+('Rachford-Rice-Solution'!$M$29-'Rachford-Rice-Solution'!$L$29)/999</f>
        <v>1.1594944835626006E-3</v>
      </c>
      <c r="C5" cm="1">
        <f t="array" ref="C5">RR_Eq('Rachford-Rice-Solution'!$B$29,'Rachford-Rice-Solution'!$C$29,'Rachford-Rice-Solution'!$D$29,'Rachford-Rice-Solution'!$E$29,B5)</f>
        <v>21.857475978202537</v>
      </c>
    </row>
    <row r="6" spans="1:3" x14ac:dyDescent="0.35">
      <c r="A6">
        <v>4</v>
      </c>
      <c r="B6">
        <f>B5+('Rachford-Rice-Solution'!$M$29-'Rachford-Rice-Solution'!$L$29)/999</f>
        <v>2.4269996345598569E-3</v>
      </c>
      <c r="C6" cm="1">
        <f t="array" ref="C6">RR_Eq('Rachford-Rice-Solution'!$B$29,'Rachford-Rice-Solution'!$C$29,'Rachford-Rice-Solution'!$D$29,'Rachford-Rice-Solution'!$E$29,B6)</f>
        <v>14.322240853965726</v>
      </c>
    </row>
    <row r="7" spans="1:3" x14ac:dyDescent="0.35">
      <c r="A7">
        <v>5</v>
      </c>
      <c r="B7">
        <f>B6+('Rachford-Rice-Solution'!$M$29-'Rachford-Rice-Solution'!$L$29)/999</f>
        <v>3.6945047855571132E-3</v>
      </c>
      <c r="C7" cm="1">
        <f t="array" ref="C7">RR_Eq('Rachford-Rice-Solution'!$B$29,'Rachford-Rice-Solution'!$C$29,'Rachford-Rice-Solution'!$D$29,'Rachford-Rice-Solution'!$E$29,B7)</f>
        <v>10.55424729717671</v>
      </c>
    </row>
    <row r="8" spans="1:3" x14ac:dyDescent="0.35">
      <c r="A8">
        <v>6</v>
      </c>
      <c r="B8">
        <f>B7+('Rachford-Rice-Solution'!$M$29-'Rachford-Rice-Solution'!$L$29)/999</f>
        <v>4.9620099365543695E-3</v>
      </c>
      <c r="C8" cm="1">
        <f t="array" ref="C8">RR_Eq('Rachford-Rice-Solution'!$B$29,'Rachford-Rice-Solution'!$C$29,'Rachford-Rice-Solution'!$D$29,'Rachford-Rice-Solution'!$E$29,B8)</f>
        <v>8.2931494595326019</v>
      </c>
    </row>
    <row r="9" spans="1:3" x14ac:dyDescent="0.35">
      <c r="A9">
        <v>7</v>
      </c>
      <c r="B9">
        <f>B8+('Rachford-Rice-Solution'!$M$29-'Rachford-Rice-Solution'!$L$29)/999</f>
        <v>6.2295150875516254E-3</v>
      </c>
      <c r="C9" cm="1">
        <f t="array" ref="C9">RR_Eq('Rachford-Rice-Solution'!$B$29,'Rachford-Rice-Solution'!$C$29,'Rachford-Rice-Solution'!$D$29,'Rachford-Rice-Solution'!$E$29,B9)</f>
        <v>6.7854987218849878</v>
      </c>
    </row>
    <row r="10" spans="1:3" x14ac:dyDescent="0.35">
      <c r="A10">
        <v>8</v>
      </c>
      <c r="B10">
        <f>B9+('Rachford-Rice-Solution'!$M$29-'Rachford-Rice-Solution'!$L$29)/999</f>
        <v>7.4970202385488821E-3</v>
      </c>
      <c r="C10" cm="1">
        <f t="array" ref="C10">RR_Eq('Rachford-Rice-Solution'!$B$29,'Rachford-Rice-Solution'!$C$29,'Rachford-Rice-Solution'!$D$29,'Rachford-Rice-Solution'!$E$29,B10)</f>
        <v>5.7083885305450011</v>
      </c>
    </row>
    <row r="11" spans="1:3" x14ac:dyDescent="0.35">
      <c r="A11">
        <v>9</v>
      </c>
      <c r="B11">
        <f>B10+('Rachford-Rice-Solution'!$M$29-'Rachford-Rice-Solution'!$L$29)/999</f>
        <v>8.7645253895461388E-3</v>
      </c>
      <c r="C11" cm="1">
        <f t="array" ref="C11">RR_Eq('Rachford-Rice-Solution'!$B$29,'Rachford-Rice-Solution'!$C$29,'Rachford-Rice-Solution'!$D$29,'Rachford-Rice-Solution'!$E$29,B11)</f>
        <v>4.9003656063595109</v>
      </c>
    </row>
    <row r="12" spans="1:3" x14ac:dyDescent="0.35">
      <c r="A12">
        <v>10</v>
      </c>
      <c r="B12">
        <f>B11+('Rachford-Rice-Solution'!$M$29-'Rachford-Rice-Solution'!$L$29)/999</f>
        <v>1.0032030540543396E-2</v>
      </c>
      <c r="C12" cm="1">
        <f t="array" ref="C12">RR_Eq('Rachford-Rice-Solution'!$B$29,'Rachford-Rice-Solution'!$C$29,'Rachford-Rice-Solution'!$D$29,'Rachford-Rice-Solution'!$E$29,B12)</f>
        <v>4.2717336810698008</v>
      </c>
    </row>
    <row r="13" spans="1:3" x14ac:dyDescent="0.35">
      <c r="A13">
        <v>11</v>
      </c>
      <c r="B13">
        <f>B12+('Rachford-Rice-Solution'!$M$29-'Rachford-Rice-Solution'!$L$29)/999</f>
        <v>1.1299535691540652E-2</v>
      </c>
      <c r="C13" cm="1">
        <f t="array" ref="C13">RR_Eq('Rachford-Rice-Solution'!$B$29,'Rachford-Rice-Solution'!$C$29,'Rachford-Rice-Solution'!$D$29,'Rachford-Rice-Solution'!$E$29,B13)</f>
        <v>3.7686749918549696</v>
      </c>
    </row>
    <row r="14" spans="1:3" x14ac:dyDescent="0.35">
      <c r="A14">
        <v>12</v>
      </c>
      <c r="B14">
        <f>B13+('Rachford-Rice-Solution'!$M$29-'Rachford-Rice-Solution'!$L$29)/999</f>
        <v>1.2567040842537909E-2</v>
      </c>
      <c r="C14" cm="1">
        <f t="array" ref="C14">RR_Eq('Rachford-Rice-Solution'!$B$29,'Rachford-Rice-Solution'!$C$29,'Rachford-Rice-Solution'!$D$29,'Rachford-Rice-Solution'!$E$29,B14)</f>
        <v>3.3569418697607079</v>
      </c>
    </row>
    <row r="15" spans="1:3" x14ac:dyDescent="0.35">
      <c r="A15">
        <v>13</v>
      </c>
      <c r="B15">
        <f>B14+('Rachford-Rice-Solution'!$M$29-'Rachford-Rice-Solution'!$L$29)/999</f>
        <v>1.3834545993535166E-2</v>
      </c>
      <c r="C15" cm="1">
        <f t="array" ref="C15">RR_Eq('Rachford-Rice-Solution'!$B$29,'Rachford-Rice-Solution'!$C$29,'Rachford-Rice-Solution'!$D$29,'Rachford-Rice-Solution'!$E$29,B15)</f>
        <v>3.0137025339136354</v>
      </c>
    </row>
    <row r="16" spans="1:3" x14ac:dyDescent="0.35">
      <c r="A16">
        <v>14</v>
      </c>
      <c r="B16">
        <f>B15+('Rachford-Rice-Solution'!$M$29-'Rachford-Rice-Solution'!$L$29)/999</f>
        <v>1.5102051144532423E-2</v>
      </c>
      <c r="C16" cm="1">
        <f t="array" ref="C16">RR_Eq('Rachford-Rice-Solution'!$B$29,'Rachford-Rice-Solution'!$C$29,'Rachford-Rice-Solution'!$D$29,'Rachford-Rice-Solution'!$E$29,B16)</f>
        <v>2.7231503653289764</v>
      </c>
    </row>
    <row r="17" spans="1:3" x14ac:dyDescent="0.35">
      <c r="A17">
        <v>15</v>
      </c>
      <c r="B17">
        <f>B16+('Rachford-Rice-Solution'!$M$29-'Rachford-Rice-Solution'!$L$29)/999</f>
        <v>1.6369556295529678E-2</v>
      </c>
      <c r="C17" cm="1">
        <f t="array" ref="C17">RR_Eq('Rachford-Rice-Solution'!$B$29,'Rachford-Rice-Solution'!$C$29,'Rachford-Rice-Solution'!$D$29,'Rachford-Rice-Solution'!$E$29,B17)</f>
        <v>2.4739949205149054</v>
      </c>
    </row>
    <row r="18" spans="1:3" x14ac:dyDescent="0.35">
      <c r="A18">
        <v>16</v>
      </c>
      <c r="B18">
        <f>B17+('Rachford-Rice-Solution'!$M$29-'Rachford-Rice-Solution'!$L$29)/999</f>
        <v>1.7637061446526933E-2</v>
      </c>
      <c r="C18" cm="1">
        <f t="array" ref="C18">RR_Eq('Rachford-Rice-Solution'!$B$29,'Rachford-Rice-Solution'!$C$29,'Rachford-Rice-Solution'!$D$29,'Rachford-Rice-Solution'!$E$29,B18)</f>
        <v>2.257956539635114</v>
      </c>
    </row>
    <row r="19" spans="1:3" x14ac:dyDescent="0.35">
      <c r="A19">
        <v>17</v>
      </c>
      <c r="B19">
        <f>B18+('Rachford-Rice-Solution'!$M$29-'Rachford-Rice-Solution'!$L$29)/999</f>
        <v>1.8904566597524187E-2</v>
      </c>
      <c r="C19" cm="1">
        <f t="array" ref="C19">RR_Eq('Rachford-Rice-Solution'!$B$29,'Rachford-Rice-Solution'!$C$29,'Rachford-Rice-Solution'!$D$29,'Rachford-Rice-Solution'!$E$29,B19)</f>
        <v>2.0688254766103769</v>
      </c>
    </row>
    <row r="20" spans="1:3" x14ac:dyDescent="0.35">
      <c r="A20">
        <v>18</v>
      </c>
      <c r="B20">
        <f>B19+('Rachford-Rice-Solution'!$M$29-'Rachford-Rice-Solution'!$L$29)/999</f>
        <v>2.0172071748521442E-2</v>
      </c>
      <c r="C20" cm="1">
        <f t="array" ref="C20">RR_Eq('Rachford-Rice-Solution'!$B$29,'Rachford-Rice-Solution'!$C$29,'Rachford-Rice-Solution'!$D$29,'Rachford-Rice-Solution'!$E$29,B20)</f>
        <v>1.9018531009489474</v>
      </c>
    </row>
    <row r="21" spans="1:3" x14ac:dyDescent="0.35">
      <c r="A21">
        <v>19</v>
      </c>
      <c r="B21">
        <f>B20+('Rachford-Rice-Solution'!$M$29-'Rachford-Rice-Solution'!$L$29)/999</f>
        <v>2.1439576899518697E-2</v>
      </c>
      <c r="C21" cm="1">
        <f t="array" ref="C21">RR_Eq('Rachford-Rice-Solution'!$B$29,'Rachford-Rice-Solution'!$C$29,'Rachford-Rice-Solution'!$D$29,'Rachford-Rice-Solution'!$E$29,B21)</f>
        <v>1.7533460323001169</v>
      </c>
    </row>
    <row r="22" spans="1:3" x14ac:dyDescent="0.35">
      <c r="A22">
        <v>20</v>
      </c>
      <c r="B22">
        <f>B21+('Rachford-Rice-Solution'!$M$29-'Rachford-Rice-Solution'!$L$29)/999</f>
        <v>2.2707082050515952E-2</v>
      </c>
      <c r="C22" cm="1">
        <f t="array" ref="C22">RR_Eq('Rachford-Rice-Solution'!$B$29,'Rachford-Rice-Solution'!$C$29,'Rachford-Rice-Solution'!$D$29,'Rachford-Rice-Solution'!$E$29,B22)</f>
        <v>1.6203884430434576</v>
      </c>
    </row>
    <row r="23" spans="1:3" x14ac:dyDescent="0.35">
      <c r="A23">
        <v>21</v>
      </c>
      <c r="B23">
        <f>B22+('Rachford-Rice-Solution'!$M$29-'Rachford-Rice-Solution'!$L$29)/999</f>
        <v>2.3974587201513207E-2</v>
      </c>
      <c r="C23" cm="1">
        <f t="array" ref="C23">RR_Eq('Rachford-Rice-Solution'!$B$29,'Rachford-Rice-Solution'!$C$29,'Rachford-Rice-Solution'!$D$29,'Rachford-Rice-Solution'!$E$29,B23)</f>
        <v>1.5006476701012721</v>
      </c>
    </row>
    <row r="24" spans="1:3" x14ac:dyDescent="0.35">
      <c r="A24">
        <v>22</v>
      </c>
      <c r="B24">
        <f>B23+('Rachford-Rice-Solution'!$M$29-'Rachford-Rice-Solution'!$L$29)/999</f>
        <v>2.5242092352510462E-2</v>
      </c>
      <c r="C24" cm="1">
        <f t="array" ref="C24">RR_Eq('Rachford-Rice-Solution'!$B$29,'Rachford-Rice-Solution'!$C$29,'Rachford-Rice-Solution'!$D$29,'Rachford-Rice-Solution'!$E$29,B24)</f>
        <v>1.3922353662331597</v>
      </c>
    </row>
    <row r="25" spans="1:3" x14ac:dyDescent="0.35">
      <c r="A25">
        <v>23</v>
      </c>
      <c r="B25">
        <f>B24+('Rachford-Rice-Solution'!$M$29-'Rachford-Rice-Solution'!$L$29)/999</f>
        <v>2.6509597503507717E-2</v>
      </c>
      <c r="C25" cm="1">
        <f t="array" ref="C25">RR_Eq('Rachford-Rice-Solution'!$B$29,'Rachford-Rice-Solution'!$C$29,'Rachford-Rice-Solution'!$D$29,'Rachford-Rice-Solution'!$E$29,B25)</f>
        <v>1.2936065191593171</v>
      </c>
    </row>
    <row r="26" spans="1:3" x14ac:dyDescent="0.35">
      <c r="A26">
        <v>24</v>
      </c>
      <c r="B26">
        <f>B25+('Rachford-Rice-Solution'!$M$29-'Rachford-Rice-Solution'!$L$29)/999</f>
        <v>2.7777102654504972E-2</v>
      </c>
      <c r="C26" cm="1">
        <f t="array" ref="C26">RR_Eq('Rachford-Rice-Solution'!$B$29,'Rachford-Rice-Solution'!$C$29,'Rachford-Rice-Solution'!$D$29,'Rachford-Rice-Solution'!$E$29,B26)</f>
        <v>1.2034848135212086</v>
      </c>
    </row>
    <row r="27" spans="1:3" x14ac:dyDescent="0.35">
      <c r="A27">
        <v>25</v>
      </c>
      <c r="B27">
        <f>B26+('Rachford-Rice-Solution'!$M$29-'Rachford-Rice-Solution'!$L$29)/999</f>
        <v>2.9044607805502227E-2</v>
      </c>
      <c r="C27" cm="1">
        <f t="array" ref="C27">RR_Eq('Rachford-Rice-Solution'!$B$29,'Rachford-Rice-Solution'!$C$29,'Rachford-Rice-Solution'!$D$29,'Rachford-Rice-Solution'!$E$29,B27)</f>
        <v>1.1208066523520432</v>
      </c>
    </row>
    <row r="28" spans="1:3" x14ac:dyDescent="0.35">
      <c r="A28">
        <v>26</v>
      </c>
      <c r="B28">
        <f>B27+('Rachford-Rice-Solution'!$M$29-'Rachford-Rice-Solution'!$L$29)/999</f>
        <v>3.0312112956499482E-2</v>
      </c>
      <c r="C28" cm="1">
        <f t="array" ref="C28">RR_Eq('Rachford-Rice-Solution'!$B$29,'Rachford-Rice-Solution'!$C$29,'Rachford-Rice-Solution'!$D$29,'Rachford-Rice-Solution'!$E$29,B28)</f>
        <v>1.0446786133943136</v>
      </c>
    </row>
    <row r="29" spans="1:3" x14ac:dyDescent="0.35">
      <c r="A29">
        <v>27</v>
      </c>
      <c r="B29">
        <f>B28+('Rachford-Rice-Solution'!$M$29-'Rachford-Rice-Solution'!$L$29)/999</f>
        <v>3.1579618107496737E-2</v>
      </c>
      <c r="C29" cm="1">
        <f t="array" ref="C29">RR_Eq('Rachford-Rice-Solution'!$B$29,'Rachford-Rice-Solution'!$C$29,'Rachford-Rice-Solution'!$D$29,'Rachford-Rice-Solution'!$E$29,B29)</f>
        <v>0.9743447231901835</v>
      </c>
    </row>
    <row r="30" spans="1:3" x14ac:dyDescent="0.35">
      <c r="A30">
        <v>28</v>
      </c>
      <c r="B30">
        <f>B29+('Rachford-Rice-Solution'!$M$29-'Rachford-Rice-Solution'!$L$29)/999</f>
        <v>3.2847123258493996E-2</v>
      </c>
      <c r="C30" cm="1">
        <f t="array" ref="C30">RR_Eq('Rachford-Rice-Solution'!$B$29,'Rachford-Rice-Solution'!$C$29,'Rachford-Rice-Solution'!$D$29,'Rachford-Rice-Solution'!$E$29,B30)</f>
        <v>0.90916100359621177</v>
      </c>
    </row>
    <row r="31" spans="1:3" x14ac:dyDescent="0.35">
      <c r="A31">
        <v>29</v>
      </c>
      <c r="B31">
        <f>B30+('Rachford-Rice-Solution'!$M$29-'Rachford-Rice-Solution'!$L$29)/999</f>
        <v>3.4114628409491254E-2</v>
      </c>
      <c r="C31" cm="1">
        <f t="array" ref="C31">RR_Eq('Rachford-Rice-Solution'!$B$29,'Rachford-Rice-Solution'!$C$29,'Rachford-Rice-Solution'!$D$29,'Rachford-Rice-Solution'!$E$29,B31)</f>
        <v>0.84857547261632726</v>
      </c>
    </row>
    <row r="32" spans="1:3" x14ac:dyDescent="0.35">
      <c r="A32">
        <v>30</v>
      </c>
      <c r="B32">
        <f>B31+('Rachford-Rice-Solution'!$M$29-'Rachford-Rice-Solution'!$L$29)/999</f>
        <v>3.5382133560488513E-2</v>
      </c>
      <c r="C32" cm="1">
        <f t="array" ref="C32">RR_Eq('Rachford-Rice-Solution'!$B$29,'Rachford-Rice-Solution'!$C$29,'Rachford-Rice-Solution'!$D$29,'Rachford-Rice-Solution'!$E$29,B32)</f>
        <v>0.79211228299347425</v>
      </c>
    </row>
    <row r="33" spans="1:3" x14ac:dyDescent="0.35">
      <c r="A33">
        <v>31</v>
      </c>
      <c r="B33">
        <f>B32+('Rachford-Rice-Solution'!$M$29-'Rachford-Rice-Solution'!$L$29)/999</f>
        <v>3.6649638711485771E-2</v>
      </c>
      <c r="C33" cm="1">
        <f t="array" ref="C33">RR_Eq('Rachford-Rice-Solution'!$B$29,'Rachford-Rice-Solution'!$C$29,'Rachford-Rice-Solution'!$D$29,'Rachford-Rice-Solution'!$E$29,B33)</f>
        <v>0.73935903308290851</v>
      </c>
    </row>
    <row r="34" spans="1:3" x14ac:dyDescent="0.35">
      <c r="A34">
        <v>32</v>
      </c>
      <c r="B34">
        <f>B33+('Rachford-Rice-Solution'!$M$29-'Rachford-Rice-Solution'!$L$29)/999</f>
        <v>3.791714386248303E-2</v>
      </c>
      <c r="C34" cm="1">
        <f t="array" ref="C34">RR_Eq('Rachford-Rice-Solution'!$B$29,'Rachford-Rice-Solution'!$C$29,'Rachford-Rice-Solution'!$D$29,'Rachford-Rice-Solution'!$E$29,B34)</f>
        <v>0.68995653368547949</v>
      </c>
    </row>
    <row r="35" spans="1:3" x14ac:dyDescent="0.35">
      <c r="A35">
        <v>33</v>
      </c>
      <c r="B35">
        <f>B34+('Rachford-Rice-Solution'!$M$29-'Rachford-Rice-Solution'!$L$29)/999</f>
        <v>3.9184649013480288E-2</v>
      </c>
      <c r="C35" cm="1">
        <f t="array" ref="C35">RR_Eq('Rachford-Rice-Solution'!$B$29,'Rachford-Rice-Solution'!$C$29,'Rachford-Rice-Solution'!$D$29,'Rachford-Rice-Solution'!$E$29,B35)</f>
        <v>0.64359049359965059</v>
      </c>
    </row>
    <row r="36" spans="1:3" x14ac:dyDescent="0.35">
      <c r="A36">
        <v>34</v>
      </c>
      <c r="B36">
        <f>B35+('Rachford-Rice-Solution'!$M$29-'Rachford-Rice-Solution'!$L$29)/999</f>
        <v>4.0452154164477547E-2</v>
      </c>
      <c r="C36" cm="1">
        <f t="array" ref="C36">RR_Eq('Rachford-Rice-Solution'!$B$29,'Rachford-Rice-Solution'!$C$29,'Rachford-Rice-Solution'!$D$29,'Rachford-Rice-Solution'!$E$29,B36)</f>
        <v>0.59998471689131427</v>
      </c>
    </row>
    <row r="37" spans="1:3" x14ac:dyDescent="0.35">
      <c r="A37">
        <v>35</v>
      </c>
      <c r="B37">
        <f>B36+('Rachford-Rice-Solution'!$M$29-'Rachford-Rice-Solution'!$L$29)/999</f>
        <v>4.1719659315474805E-2</v>
      </c>
      <c r="C37" cm="1">
        <f t="array" ref="C37">RR_Eq('Rachford-Rice-Solution'!$B$29,'Rachford-Rice-Solution'!$C$29,'Rachford-Rice-Solution'!$D$29,'Rachford-Rice-Solution'!$E$29,B37)</f>
        <v>0.55889550064538362</v>
      </c>
    </row>
    <row r="38" spans="1:3" x14ac:dyDescent="0.35">
      <c r="A38">
        <v>36</v>
      </c>
      <c r="B38">
        <f>B37+('Rachford-Rice-Solution'!$M$29-'Rachford-Rice-Solution'!$L$29)/999</f>
        <v>4.2987164466472064E-2</v>
      </c>
      <c r="C38" cm="1">
        <f t="array" ref="C38">RR_Eq('Rachford-Rice-Solution'!$B$29,'Rachford-Rice-Solution'!$C$29,'Rachford-Rice-Solution'!$D$29,'Rachford-Rice-Solution'!$E$29,B38)</f>
        <v>0.52010699310280828</v>
      </c>
    </row>
    <row r="39" spans="1:3" x14ac:dyDescent="0.35">
      <c r="A39">
        <v>37</v>
      </c>
      <c r="B39">
        <f>B38+('Rachford-Rice-Solution'!$M$29-'Rachford-Rice-Solution'!$L$29)/999</f>
        <v>4.4254669617469322E-2</v>
      </c>
      <c r="C39" cm="1">
        <f t="array" ref="C39">RR_Eq('Rachford-Rice-Solution'!$B$29,'Rachford-Rice-Solution'!$C$29,'Rachford-Rice-Solution'!$D$29,'Rachford-Rice-Solution'!$E$29,B39)</f>
        <v>0.48342732544140077</v>
      </c>
    </row>
    <row r="40" spans="1:3" x14ac:dyDescent="0.35">
      <c r="A40">
        <v>38</v>
      </c>
      <c r="B40">
        <f>B39+('Rachford-Rice-Solution'!$M$29-'Rachford-Rice-Solution'!$L$29)/999</f>
        <v>4.5522174768466581E-2</v>
      </c>
      <c r="C40" cm="1">
        <f t="array" ref="C40">RR_Eq('Rachford-Rice-Solution'!$B$29,'Rachford-Rice-Solution'!$C$29,'Rachford-Rice-Solution'!$D$29,'Rachford-Rice-Solution'!$E$29,B40)</f>
        <v>0.44868537083542759</v>
      </c>
    </row>
    <row r="41" spans="1:3" x14ac:dyDescent="0.35">
      <c r="A41">
        <v>39</v>
      </c>
      <c r="B41">
        <f>B40+('Rachford-Rice-Solution'!$M$29-'Rachford-Rice-Solution'!$L$29)/999</f>
        <v>4.6789679919463839E-2</v>
      </c>
      <c r="C41" cm="1">
        <f t="array" ref="C41">RR_Eq('Rachford-Rice-Solution'!$B$29,'Rachford-Rice-Solution'!$C$29,'Rachford-Rice-Solution'!$D$29,'Rachford-Rice-Solution'!$E$29,B41)</f>
        <v>0.41572801524261804</v>
      </c>
    </row>
    <row r="42" spans="1:3" x14ac:dyDescent="0.35">
      <c r="A42">
        <v>40</v>
      </c>
      <c r="B42">
        <f>B41+('Rachford-Rice-Solution'!$M$29-'Rachford-Rice-Solution'!$L$29)/999</f>
        <v>4.8057185070461098E-2</v>
      </c>
      <c r="C42" cm="1">
        <f t="array" ref="C42">RR_Eq('Rachford-Rice-Solution'!$B$29,'Rachford-Rice-Solution'!$C$29,'Rachford-Rice-Solution'!$D$29,'Rachford-Rice-Solution'!$E$29,B42)</f>
        <v>0.38441784807007606</v>
      </c>
    </row>
    <row r="43" spans="1:3" x14ac:dyDescent="0.35">
      <c r="A43">
        <v>41</v>
      </c>
      <c r="B43">
        <f>B42+('Rachford-Rice-Solution'!$M$29-'Rachford-Rice-Solution'!$L$29)/999</f>
        <v>4.9324690221458356E-2</v>
      </c>
      <c r="C43" cm="1">
        <f t="array" ref="C43">RR_Eq('Rachford-Rice-Solution'!$B$29,'Rachford-Rice-Solution'!$C$29,'Rachford-Rice-Solution'!$D$29,'Rachford-Rice-Solution'!$E$29,B43)</f>
        <v>0.35463119924028597</v>
      </c>
    </row>
    <row r="44" spans="1:3" x14ac:dyDescent="0.35">
      <c r="A44">
        <v>42</v>
      </c>
      <c r="B44">
        <f>B43+('Rachford-Rice-Solution'!$M$29-'Rachford-Rice-Solution'!$L$29)/999</f>
        <v>5.0592195372455614E-2</v>
      </c>
      <c r="C44" cm="1">
        <f t="array" ref="C44">RR_Eq('Rachford-Rice-Solution'!$B$29,'Rachford-Rice-Solution'!$C$29,'Rachford-Rice-Solution'!$D$29,'Rachford-Rice-Solution'!$E$29,B44)</f>
        <v>0.32625646351573645</v>
      </c>
    </row>
    <row r="45" spans="1:3" x14ac:dyDescent="0.35">
      <c r="A45">
        <v>43</v>
      </c>
      <c r="B45">
        <f>B44+('Rachford-Rice-Solution'!$M$29-'Rachford-Rice-Solution'!$L$29)/999</f>
        <v>5.1859700523452873E-2</v>
      </c>
      <c r="C45" cm="1">
        <f t="array" ref="C45">RR_Eq('Rachford-Rice-Solution'!$B$29,'Rachford-Rice-Solution'!$C$29,'Rachford-Rice-Solution'!$D$29,'Rachford-Rice-Solution'!$E$29,B45)</f>
        <v>0.29919266420572266</v>
      </c>
    </row>
    <row r="46" spans="1:3" x14ac:dyDescent="0.35">
      <c r="A46">
        <v>44</v>
      </c>
      <c r="B46">
        <f>B45+('Rachford-Rice-Solution'!$M$29-'Rachford-Rice-Solution'!$L$29)/999</f>
        <v>5.3127205674450131E-2</v>
      </c>
      <c r="C46" cm="1">
        <f t="array" ref="C46">RR_Eq('Rachford-Rice-Solution'!$B$29,'Rachford-Rice-Solution'!$C$29,'Rachford-Rice-Solution'!$D$29,'Rachford-Rice-Solution'!$E$29,B46)</f>
        <v>0.27334821728613734</v>
      </c>
    </row>
    <row r="47" spans="1:3" x14ac:dyDescent="0.35">
      <c r="A47">
        <v>45</v>
      </c>
      <c r="B47">
        <f>B46+('Rachford-Rice-Solution'!$M$29-'Rachford-Rice-Solution'!$L$29)/999</f>
        <v>5.439471082544739E-2</v>
      </c>
      <c r="C47" cm="1">
        <f t="array" ref="C47">RR_Eq('Rachford-Rice-Solution'!$B$29,'Rachford-Rice-Solution'!$C$29,'Rachford-Rice-Solution'!$D$29,'Rachford-Rice-Solution'!$E$29,B47)</f>
        <v>0.24863986404836402</v>
      </c>
    </row>
    <row r="48" spans="1:3" x14ac:dyDescent="0.35">
      <c r="A48">
        <v>46</v>
      </c>
      <c r="B48">
        <f>B47+('Rachford-Rice-Solution'!$M$29-'Rachford-Rice-Solution'!$L$29)/999</f>
        <v>5.5662215976444648E-2</v>
      </c>
      <c r="C48" cm="1">
        <f t="array" ref="C48">RR_Eq('Rachford-Rice-Solution'!$B$29,'Rachford-Rice-Solution'!$C$29,'Rachford-Rice-Solution'!$D$29,'Rachford-Rice-Solution'!$E$29,B48)</f>
        <v>0.22499174606163486</v>
      </c>
    </row>
    <row r="49" spans="1:3" x14ac:dyDescent="0.35">
      <c r="A49">
        <v>47</v>
      </c>
      <c r="B49">
        <f>B48+('Rachford-Rice-Solution'!$M$29-'Rachford-Rice-Solution'!$L$29)/999</f>
        <v>5.6929721127441907E-2</v>
      </c>
      <c r="C49" cm="1">
        <f t="array" ref="C49">RR_Eq('Rachford-Rice-Solution'!$B$29,'Rachford-Rice-Solution'!$C$29,'Rachford-Rice-Solution'!$D$29,'Rachford-Rice-Solution'!$E$29,B49)</f>
        <v>0.20233460079245646</v>
      </c>
    </row>
    <row r="50" spans="1:3" x14ac:dyDescent="0.35">
      <c r="A50">
        <v>48</v>
      </c>
      <c r="B50">
        <f>B49+('Rachford-Rice-Solution'!$M$29-'Rachford-Rice-Solution'!$L$29)/999</f>
        <v>5.8197226278439165E-2</v>
      </c>
      <c r="C50" cm="1">
        <f t="array" ref="C50">RR_Eq('Rachford-Rice-Solution'!$B$29,'Rachford-Rice-Solution'!$C$29,'Rachford-Rice-Solution'!$D$29,'Rachford-Rice-Solution'!$E$29,B50)</f>
        <v>0.18060505991090281</v>
      </c>
    </row>
    <row r="51" spans="1:3" x14ac:dyDescent="0.35">
      <c r="A51">
        <v>49</v>
      </c>
      <c r="B51">
        <f>B50+('Rachford-Rice-Solution'!$M$29-'Rachford-Rice-Solution'!$L$29)/999</f>
        <v>5.9464731429436424E-2</v>
      </c>
      <c r="C51" cm="1">
        <f t="array" ref="C51">RR_Eq('Rachford-Rice-Solution'!$B$29,'Rachford-Rice-Solution'!$C$29,'Rachford-Rice-Solution'!$D$29,'Rachford-Rice-Solution'!$E$29,B51)</f>
        <v>0.15974503530860407</v>
      </c>
    </row>
    <row r="52" spans="1:3" x14ac:dyDescent="0.35">
      <c r="A52">
        <v>50</v>
      </c>
      <c r="B52">
        <f>B51+('Rachford-Rice-Solution'!$M$29-'Rachford-Rice-Solution'!$L$29)/999</f>
        <v>6.0732236580433682E-2</v>
      </c>
      <c r="C52" cm="1">
        <f t="array" ref="C52">RR_Eq('Rachford-Rice-Solution'!$B$29,'Rachford-Rice-Solution'!$C$29,'Rachford-Rice-Solution'!$D$29,'Rachford-Rice-Solution'!$E$29,B52)</f>
        <v>0.1397011802981929</v>
      </c>
    </row>
    <row r="53" spans="1:3" x14ac:dyDescent="0.35">
      <c r="A53">
        <v>51</v>
      </c>
      <c r="B53">
        <f>B52+('Rachford-Rice-Solution'!$M$29-'Rachford-Rice-Solution'!$L$29)/999</f>
        <v>6.1999741731430941E-2</v>
      </c>
      <c r="C53" cm="1">
        <f t="array" ref="C53">RR_Eq('Rachford-Rice-Solution'!$B$29,'Rachford-Rice-Solution'!$C$29,'Rachford-Rice-Solution'!$D$29,'Rachford-Rice-Solution'!$E$29,B53)</f>
        <v>0.12042441546880089</v>
      </c>
    </row>
    <row r="54" spans="1:3" x14ac:dyDescent="0.35">
      <c r="A54">
        <v>52</v>
      </c>
      <c r="B54">
        <f>B53+('Rachford-Rice-Solution'!$M$29-'Rachford-Rice-Solution'!$L$29)/999</f>
        <v>6.3267246882428199E-2</v>
      </c>
      <c r="C54" cm="1">
        <f t="array" ref="C54">RR_Eq('Rachford-Rice-Solution'!$B$29,'Rachford-Rice-Solution'!$C$29,'Rachford-Rice-Solution'!$D$29,'Rachford-Rice-Solution'!$E$29,B54)</f>
        <v>0.10186951032324654</v>
      </c>
    </row>
    <row r="55" spans="1:3" x14ac:dyDescent="0.35">
      <c r="A55">
        <v>53</v>
      </c>
      <c r="B55">
        <f>B54+('Rachford-Rice-Solution'!$M$29-'Rachford-Rice-Solution'!$L$29)/999</f>
        <v>6.4534752033425458E-2</v>
      </c>
      <c r="C55" cm="1">
        <f t="array" ref="C55">RR_Eq('Rachford-Rice-Solution'!$B$29,'Rachford-Rice-Solution'!$C$29,'Rachford-Rice-Solution'!$D$29,'Rachford-Rice-Solution'!$E$29,B55)</f>
        <v>8.399471318784113E-2</v>
      </c>
    </row>
    <row r="56" spans="1:3" x14ac:dyDescent="0.35">
      <c r="A56">
        <v>54</v>
      </c>
      <c r="B56">
        <f>B55+('Rachford-Rice-Solution'!$M$29-'Rachford-Rice-Solution'!$L$29)/999</f>
        <v>6.5802257184422716E-2</v>
      </c>
      <c r="C56" cm="1">
        <f t="array" ref="C56">RR_Eq('Rachford-Rice-Solution'!$B$29,'Rachford-Rice-Solution'!$C$29,'Rachford-Rice-Solution'!$D$29,'Rachford-Rice-Solution'!$E$29,B56)</f>
        <v>6.6761423019182531E-2</v>
      </c>
    </row>
    <row r="57" spans="1:3" x14ac:dyDescent="0.35">
      <c r="A57">
        <v>55</v>
      </c>
      <c r="B57">
        <f>B56+('Rachford-Rice-Solution'!$M$29-'Rachford-Rice-Solution'!$L$29)/999</f>
        <v>6.7069762335419975E-2</v>
      </c>
      <c r="C57" cm="1">
        <f t="array" ref="C57">RR_Eq('Rachford-Rice-Solution'!$B$29,'Rachford-Rice-Solution'!$C$29,'Rachford-Rice-Solution'!$D$29,'Rachford-Rice-Solution'!$E$29,B57)</f>
        <v>5.0133897676846728E-2</v>
      </c>
    </row>
    <row r="58" spans="1:3" x14ac:dyDescent="0.35">
      <c r="A58">
        <v>56</v>
      </c>
      <c r="B58">
        <f>B57+('Rachford-Rice-Solution'!$M$29-'Rachford-Rice-Solution'!$L$29)/999</f>
        <v>6.8337267486417233E-2</v>
      </c>
      <c r="C58" cm="1">
        <f t="array" ref="C58">RR_Eq('Rachford-Rice-Solution'!$B$29,'Rachford-Rice-Solution'!$C$29,'Rachford-Rice-Solution'!$D$29,'Rachford-Rice-Solution'!$E$29,B58)</f>
        <v>3.4078994020863229E-2</v>
      </c>
    </row>
    <row r="59" spans="1:3" x14ac:dyDescent="0.35">
      <c r="A59">
        <v>57</v>
      </c>
      <c r="B59">
        <f>B58+('Rachford-Rice-Solution'!$M$29-'Rachford-Rice-Solution'!$L$29)/999</f>
        <v>6.9604772637414491E-2</v>
      </c>
      <c r="C59" cm="1">
        <f t="array" ref="C59">RR_Eq('Rachford-Rice-Solution'!$B$29,'Rachford-Rice-Solution'!$C$29,'Rachford-Rice-Solution'!$D$29,'Rachford-Rice-Solution'!$E$29,B59)</f>
        <v>1.8565935855872961E-2</v>
      </c>
    </row>
    <row r="60" spans="1:3" x14ac:dyDescent="0.35">
      <c r="A60">
        <v>58</v>
      </c>
      <c r="B60">
        <f>B59+('Rachford-Rice-Solution'!$M$29-'Rachford-Rice-Solution'!$L$29)/999</f>
        <v>7.087227778841175E-2</v>
      </c>
      <c r="C60" cm="1">
        <f t="array" ref="C60">RR_Eq('Rachford-Rice-Solution'!$B$29,'Rachford-Rice-Solution'!$C$29,'Rachford-Rice-Solution'!$D$29,'Rachford-Rice-Solution'!$E$29,B60)</f>
        <v>3.5661063022062178E-3</v>
      </c>
    </row>
    <row r="61" spans="1:3" x14ac:dyDescent="0.35">
      <c r="A61">
        <v>59</v>
      </c>
      <c r="B61">
        <f>B60+('Rachford-Rice-Solution'!$M$29-'Rachford-Rice-Solution'!$L$29)/999</f>
        <v>7.2139782939409008E-2</v>
      </c>
      <c r="C61" cm="1">
        <f t="array" ref="C61">RR_Eq('Rachford-Rice-Solution'!$B$29,'Rachford-Rice-Solution'!$C$29,'Rachford-Rice-Solution'!$D$29,'Rachford-Rice-Solution'!$E$29,B61)</f>
        <v>-1.094713835420158E-2</v>
      </c>
    </row>
    <row r="62" spans="1:3" x14ac:dyDescent="0.35">
      <c r="A62">
        <v>60</v>
      </c>
      <c r="B62">
        <f>B61+('Rachford-Rice-Solution'!$M$29-'Rachford-Rice-Solution'!$L$29)/999</f>
        <v>7.3407288090406267E-2</v>
      </c>
      <c r="C62" cm="1">
        <f t="array" ref="C62">RR_Eq('Rachford-Rice-Solution'!$B$29,'Rachford-Rice-Solution'!$C$29,'Rachford-Rice-Solution'!$D$29,'Rachford-Rice-Solution'!$E$29,B62)</f>
        <v>-2.4998635881389952E-2</v>
      </c>
    </row>
    <row r="63" spans="1:3" x14ac:dyDescent="0.35">
      <c r="A63">
        <v>61</v>
      </c>
      <c r="B63">
        <f>B62+('Rachford-Rice-Solution'!$M$29-'Rachford-Rice-Solution'!$L$29)/999</f>
        <v>7.4674793241403525E-2</v>
      </c>
      <c r="C63" cm="1">
        <f t="array" ref="C63">RR_Eq('Rachford-Rice-Solution'!$B$29,'Rachford-Rice-Solution'!$C$29,'Rachford-Rice-Solution'!$D$29,'Rachford-Rice-Solution'!$E$29,B63)</f>
        <v>-3.8611568599008828E-2</v>
      </c>
    </row>
    <row r="64" spans="1:3" x14ac:dyDescent="0.35">
      <c r="A64">
        <v>62</v>
      </c>
      <c r="B64">
        <f>B63+('Rachford-Rice-Solution'!$M$29-'Rachford-Rice-Solution'!$L$29)/999</f>
        <v>7.5942298392400784E-2</v>
      </c>
      <c r="C64" cm="1">
        <f t="array" ref="C64">RR_Eq('Rachford-Rice-Solution'!$B$29,'Rachford-Rice-Solution'!$C$29,'Rachford-Rice-Solution'!$D$29,'Rachford-Rice-Solution'!$E$29,B64)</f>
        <v>-5.1807599072921873E-2</v>
      </c>
    </row>
    <row r="65" spans="1:3" x14ac:dyDescent="0.35">
      <c r="A65">
        <v>63</v>
      </c>
      <c r="B65">
        <f>B64+('Rachford-Rice-Solution'!$M$29-'Rachford-Rice-Solution'!$L$29)/999</f>
        <v>7.7209803543398042E-2</v>
      </c>
      <c r="C65" cm="1">
        <f t="array" ref="C65">RR_Eq('Rachford-Rice-Solution'!$B$29,'Rachford-Rice-Solution'!$C$29,'Rachford-Rice-Solution'!$D$29,'Rachford-Rice-Solution'!$E$29,B65)</f>
        <v>-6.4606992678085784E-2</v>
      </c>
    </row>
    <row r="66" spans="1:3" x14ac:dyDescent="0.35">
      <c r="A66">
        <v>64</v>
      </c>
      <c r="B66">
        <f>B65+('Rachford-Rice-Solution'!$M$29-'Rachford-Rice-Solution'!$L$29)/999</f>
        <v>7.8477308694395301E-2</v>
      </c>
      <c r="C66" cm="1">
        <f t="array" ref="C66">RR_Eq('Rachford-Rice-Solution'!$B$29,'Rachford-Rice-Solution'!$C$29,'Rachford-Rice-Solution'!$D$29,'Rachford-Rice-Solution'!$E$29,B66)</f>
        <v>-7.7028728488790388E-2</v>
      </c>
    </row>
    <row r="67" spans="1:3" x14ac:dyDescent="0.35">
      <c r="A67">
        <v>65</v>
      </c>
      <c r="B67">
        <f>B66+('Rachford-Rice-Solution'!$M$29-'Rachford-Rice-Solution'!$L$29)/999</f>
        <v>7.9744813845392559E-2</v>
      </c>
      <c r="C67" cm="1">
        <f t="array" ref="C67">RR_Eq('Rachford-Rice-Solution'!$B$29,'Rachford-Rice-Solution'!$C$29,'Rachford-Rice-Solution'!$D$29,'Rachford-Rice-Solution'!$E$29,B67)</f>
        <v>-8.9090599772949086E-2</v>
      </c>
    </row>
    <row r="68" spans="1:3" x14ac:dyDescent="0.35">
      <c r="A68">
        <v>66</v>
      </c>
      <c r="B68">
        <f>B67+('Rachford-Rice-Solution'!$M$29-'Rachford-Rice-Solution'!$L$29)/999</f>
        <v>8.1012318996389818E-2</v>
      </c>
      <c r="C68" cm="1">
        <f t="array" ref="C68">RR_Eq('Rachford-Rice-Solution'!$B$29,'Rachford-Rice-Solution'!$C$29,'Rachford-Rice-Solution'!$D$29,'Rachford-Rice-Solution'!$E$29,B68)</f>
        <v>-0.10080930521000742</v>
      </c>
    </row>
    <row r="69" spans="1:3" x14ac:dyDescent="0.35">
      <c r="A69">
        <v>67</v>
      </c>
      <c r="B69">
        <f>B68+('Rachford-Rice-Solution'!$M$29-'Rachford-Rice-Solution'!$L$29)/999</f>
        <v>8.2279824147387076E-2</v>
      </c>
      <c r="C69" cm="1">
        <f t="array" ref="C69">RR_Eq('Rachford-Rice-Solution'!$B$29,'Rachford-Rice-Solution'!$C$29,'Rachford-Rice-Solution'!$D$29,'Rachford-Rice-Solution'!$E$29,B69)</f>
        <v>-0.11220053181632761</v>
      </c>
    </row>
    <row r="70" spans="1:3" x14ac:dyDescent="0.35">
      <c r="A70">
        <v>68</v>
      </c>
      <c r="B70">
        <f>B69+('Rachford-Rice-Solution'!$M$29-'Rachford-Rice-Solution'!$L$29)/999</f>
        <v>8.3547329298384335E-2</v>
      </c>
      <c r="C70" cm="1">
        <f t="array" ref="C70">RR_Eq('Rachford-Rice-Solution'!$B$29,'Rachford-Rice-Solution'!$C$29,'Rachford-Rice-Solution'!$D$29,'Rachford-Rice-Solution'!$E$29,B70)</f>
        <v>-0.12327903044443178</v>
      </c>
    </row>
    <row r="71" spans="1:3" x14ac:dyDescent="0.35">
      <c r="A71">
        <v>69</v>
      </c>
      <c r="B71">
        <f>B70+('Rachford-Rice-Solution'!$M$29-'Rachford-Rice-Solution'!$L$29)/999</f>
        <v>8.4814834449381593E-2</v>
      </c>
      <c r="C71" cm="1">
        <f t="array" ref="C71">RR_Eq('Rachford-Rice-Solution'!$B$29,'Rachford-Rice-Solution'!$C$29,'Rachford-Rice-Solution'!$D$29,'Rachford-Rice-Solution'!$E$29,B71)</f>
        <v>-0.13405868462055948</v>
      </c>
    </row>
    <row r="72" spans="1:3" x14ac:dyDescent="0.35">
      <c r="A72">
        <v>70</v>
      </c>
      <c r="B72">
        <f>B71+('Rachford-Rice-Solution'!$M$29-'Rachford-Rice-Solution'!$L$29)/999</f>
        <v>8.6082339600378852E-2</v>
      </c>
      <c r="C72" cm="1">
        <f t="array" ref="C72">RR_Eq('Rachford-Rice-Solution'!$B$29,'Rachford-Rice-Solution'!$C$29,'Rachford-Rice-Solution'!$D$29,'Rachford-Rice-Solution'!$E$29,B72)</f>
        <v>-0.14455257339636363</v>
      </c>
    </row>
    <row r="73" spans="1:3" x14ac:dyDescent="0.35">
      <c r="A73">
        <v>71</v>
      </c>
      <c r="B73">
        <f>B72+('Rachford-Rice-Solution'!$M$29-'Rachford-Rice-Solution'!$L$29)/999</f>
        <v>8.734984475137611E-2</v>
      </c>
      <c r="C73" cm="1">
        <f t="array" ref="C73">RR_Eq('Rachford-Rice-Solution'!$B$29,'Rachford-Rice-Solution'!$C$29,'Rachford-Rice-Solution'!$D$29,'Rachford-Rice-Solution'!$E$29,B73)</f>
        <v>-0.1547730288133311</v>
      </c>
    </row>
    <row r="74" spans="1:3" x14ac:dyDescent="0.35">
      <c r="A74">
        <v>72</v>
      </c>
      <c r="B74">
        <f>B73+('Rachford-Rice-Solution'!$M$29-'Rachford-Rice-Solution'!$L$29)/999</f>
        <v>8.8617349902373369E-2</v>
      </c>
      <c r="C74" cm="1">
        <f t="array" ref="C74">RR_Eq('Rachford-Rice-Solution'!$B$29,'Rachford-Rice-Solution'!$C$29,'Rachford-Rice-Solution'!$D$29,'Rachford-Rice-Solution'!$E$29,B74)</f>
        <v>-0.16473168851106723</v>
      </c>
    </row>
    <row r="75" spans="1:3" x14ac:dyDescent="0.35">
      <c r="A75">
        <v>73</v>
      </c>
      <c r="B75">
        <f>B74+('Rachford-Rice-Solution'!$M$29-'Rachford-Rice-Solution'!$L$29)/999</f>
        <v>8.9884855053370627E-2</v>
      </c>
      <c r="C75" cm="1">
        <f t="array" ref="C75">RR_Eq('Rachford-Rice-Solution'!$B$29,'Rachford-Rice-Solution'!$C$29,'Rachford-Rice-Solution'!$D$29,'Rachford-Rice-Solution'!$E$29,B75)</f>
        <v>-0.17443954395156835</v>
      </c>
    </row>
    <row r="76" spans="1:3" x14ac:dyDescent="0.35">
      <c r="A76">
        <v>74</v>
      </c>
      <c r="B76">
        <f>B75+('Rachford-Rice-Solution'!$M$29-'Rachford-Rice-Solution'!$L$29)/999</f>
        <v>9.1152360204367885E-2</v>
      </c>
      <c r="C76" cm="1">
        <f t="array" ref="C76">RR_Eq('Rachford-Rice-Solution'!$B$29,'Rachford-Rice-Solution'!$C$29,'Rachford-Rice-Solution'!$D$29,'Rachford-Rice-Solution'!$E$29,B76)</f>
        <v>-0.18390698467986866</v>
      </c>
    </row>
    <row r="77" spans="1:3" x14ac:dyDescent="0.35">
      <c r="A77">
        <v>75</v>
      </c>
      <c r="B77">
        <f>B76+('Rachford-Rice-Solution'!$M$29-'Rachford-Rice-Solution'!$L$29)/999</f>
        <v>9.2419865355365144E-2</v>
      </c>
      <c r="C77" cm="1">
        <f t="array" ref="C77">RR_Eq('Rachford-Rice-Solution'!$B$29,'Rachford-Rice-Solution'!$C$29,'Rachford-Rice-Solution'!$D$29,'Rachford-Rice-Solution'!$E$29,B77)</f>
        <v>-0.19314383899599752</v>
      </c>
    </row>
    <row r="78" spans="1:3" x14ac:dyDescent="0.35">
      <c r="A78">
        <v>76</v>
      </c>
      <c r="B78">
        <f>B77+('Rachford-Rice-Solution'!$M$29-'Rachford-Rice-Solution'!$L$29)/999</f>
        <v>9.3687370506362402E-2</v>
      </c>
      <c r="C78" cm="1">
        <f t="array" ref="C78">RR_Eq('Rachford-Rice-Solution'!$B$29,'Rachford-Rice-Solution'!$C$29,'Rachford-Rice-Solution'!$D$29,'Rachford-Rice-Solution'!$E$29,B78)</f>
        <v>-0.20215941137319349</v>
      </c>
    </row>
    <row r="79" spans="1:3" x14ac:dyDescent="0.35">
      <c r="A79">
        <v>77</v>
      </c>
      <c r="B79">
        <f>B78+('Rachford-Rice-Solution'!$M$29-'Rachford-Rice-Solution'!$L$29)/999</f>
        <v>9.4954875657359661E-2</v>
      </c>
      <c r="C79" cm="1">
        <f t="array" ref="C79">RR_Eq('Rachford-Rice-Solution'!$B$29,'Rachford-Rice-Solution'!$C$29,'Rachford-Rice-Solution'!$D$29,'Rachford-Rice-Solution'!$E$29,B79)</f>
        <v>-0.21096251692205892</v>
      </c>
    </row>
    <row r="80" spans="1:3" x14ac:dyDescent="0.35">
      <c r="A80">
        <v>78</v>
      </c>
      <c r="B80">
        <f>B79+('Rachford-Rice-Solution'!$M$29-'Rachford-Rice-Solution'!$L$29)/999</f>
        <v>9.6222380808356919E-2</v>
      </c>
      <c r="C80" cm="1">
        <f t="array" ref="C80">RR_Eq('Rachford-Rice-Solution'!$B$29,'Rachford-Rice-Solution'!$C$29,'Rachford-Rice-Solution'!$D$29,'Rachford-Rice-Solution'!$E$29,B80)</f>
        <v>-0.21956151316920969</v>
      </c>
    </row>
    <row r="81" spans="1:3" x14ac:dyDescent="0.35">
      <c r="A81">
        <v>79</v>
      </c>
      <c r="B81">
        <f>B80+('Rachford-Rice-Solution'!$M$29-'Rachford-Rice-Solution'!$L$29)/999</f>
        <v>9.7489885959354178E-2</v>
      </c>
      <c r="C81" cm="1">
        <f t="array" ref="C81">RR_Eq('Rachford-Rice-Solution'!$B$29,'Rachford-Rice-Solution'!$C$29,'Rachford-Rice-Solution'!$D$29,'Rachford-Rice-Solution'!$E$29,B81)</f>
        <v>-0.2279643293914243</v>
      </c>
    </row>
    <row r="82" spans="1:3" x14ac:dyDescent="0.35">
      <c r="A82">
        <v>80</v>
      </c>
      <c r="B82">
        <f>B81+('Rachford-Rice-Solution'!$M$29-'Rachford-Rice-Solution'!$L$29)/999</f>
        <v>9.8757391110351436E-2</v>
      </c>
      <c r="C82" cm="1">
        <f t="array" ref="C82">RR_Eq('Rachford-Rice-Solution'!$B$29,'Rachford-Rice-Solution'!$C$29,'Rachford-Rice-Solution'!$D$29,'Rachford-Rice-Solution'!$E$29,B82)</f>
        <v>-0.23617849372189625</v>
      </c>
    </row>
    <row r="83" spans="1:3" x14ac:dyDescent="0.35">
      <c r="A83">
        <v>81</v>
      </c>
      <c r="B83">
        <f>B82+('Rachford-Rice-Solution'!$M$29-'Rachford-Rice-Solution'!$L$29)/999</f>
        <v>0.10002489626134869</v>
      </c>
      <c r="C83" cm="1">
        <f t="array" ref="C83">RR_Eq('Rachford-Rice-Solution'!$B$29,'Rachford-Rice-Solution'!$C$29,'Rachford-Rice-Solution'!$D$29,'Rachford-Rice-Solution'!$E$29,B83)</f>
        <v>-0.2442111582235269</v>
      </c>
    </row>
    <row r="84" spans="1:3" x14ac:dyDescent="0.35">
      <c r="A84">
        <v>82</v>
      </c>
      <c r="B84">
        <f>B83+('Rachford-Rice-Solution'!$M$29-'Rachford-Rice-Solution'!$L$29)/999</f>
        <v>0.10129240141234595</v>
      </c>
      <c r="C84" cm="1">
        <f t="array" ref="C84">RR_Eq('Rachford-Rice-Solution'!$B$29,'Rachford-Rice-Solution'!$C$29,'Rachford-Rice-Solution'!$D$29,'Rachford-Rice-Solution'!$E$29,B84)</f>
        <v>-0.25206912210495136</v>
      </c>
    </row>
    <row r="85" spans="1:3" x14ac:dyDescent="0.35">
      <c r="A85">
        <v>83</v>
      </c>
      <c r="B85">
        <f>B84+('Rachford-Rice-Solution'!$M$29-'Rachford-Rice-Solution'!$L$29)/999</f>
        <v>0.10255990656334321</v>
      </c>
      <c r="C85" cm="1">
        <f t="array" ref="C85">RR_Eq('Rachford-Rice-Solution'!$B$29,'Rachford-Rice-Solution'!$C$29,'Rachford-Rice-Solution'!$D$29,'Rachford-Rice-Solution'!$E$29,B85)</f>
        <v>-0.25975885323784131</v>
      </c>
    </row>
    <row r="86" spans="1:3" x14ac:dyDescent="0.35">
      <c r="A86">
        <v>84</v>
      </c>
      <c r="B86">
        <f>B85+('Rachford-Rice-Solution'!$M$29-'Rachford-Rice-Solution'!$L$29)/999</f>
        <v>0.10382741171434047</v>
      </c>
      <c r="C86" cm="1">
        <f t="array" ref="C86">RR_Eq('Rachford-Rice-Solution'!$B$29,'Rachford-Rice-Solution'!$C$29,'Rachford-Rice-Solution'!$D$29,'Rachford-Rice-Solution'!$E$29,B86)</f>
        <v>-0.26728650811875265</v>
      </c>
    </row>
    <row r="87" spans="1:3" x14ac:dyDescent="0.35">
      <c r="A87">
        <v>85</v>
      </c>
      <c r="B87">
        <f>B86+('Rachford-Rice-Solution'!$M$29-'Rachford-Rice-Solution'!$L$29)/999</f>
        <v>0.10509491686533773</v>
      </c>
      <c r="C87" cm="1">
        <f t="array" ref="C87">RR_Eq('Rachford-Rice-Solution'!$B$29,'Rachford-Rice-Solution'!$C$29,'Rachford-Rice-Solution'!$D$29,'Rachford-Rice-Solution'!$E$29,B87)</f>
        <v>-0.27465795040513663</v>
      </c>
    </row>
    <row r="88" spans="1:3" x14ac:dyDescent="0.35">
      <c r="A88">
        <v>86</v>
      </c>
      <c r="B88">
        <f>B87+('Rachford-Rice-Solution'!$M$29-'Rachford-Rice-Solution'!$L$29)/999</f>
        <v>0.10636242201633499</v>
      </c>
      <c r="C88" cm="1">
        <f t="array" ref="C88">RR_Eq('Rachford-Rice-Solution'!$B$29,'Rachford-Rice-Solution'!$C$29,'Rachford-Rice-Solution'!$D$29,'Rachford-Rice-Solution'!$E$29,B88)</f>
        <v>-0.28187876814294077</v>
      </c>
    </row>
    <row r="89" spans="1:3" x14ac:dyDescent="0.35">
      <c r="A89">
        <v>87</v>
      </c>
      <c r="B89">
        <f>B88+('Rachford-Rice-Solution'!$M$29-'Rachford-Rice-Solution'!$L$29)/999</f>
        <v>0.10762992716733225</v>
      </c>
      <c r="C89" cm="1">
        <f t="array" ref="C89">RR_Eq('Rachford-Rice-Solution'!$B$29,'Rachford-Rice-Solution'!$C$29,'Rachford-Rice-Solution'!$D$29,'Rachford-Rice-Solution'!$E$29,B89)</f>
        <v>-0.28895428979229398</v>
      </c>
    </row>
    <row r="90" spans="1:3" x14ac:dyDescent="0.35">
      <c r="A90">
        <v>88</v>
      </c>
      <c r="B90">
        <f>B89+('Rachford-Rice-Solution'!$M$29-'Rachford-Rice-Solution'!$L$29)/999</f>
        <v>0.1088974323183295</v>
      </c>
      <c r="C90" cm="1">
        <f t="array" ref="C90">RR_Eq('Rachford-Rice-Solution'!$B$29,'Rachford-Rice-Solution'!$C$29,'Rachford-Rice-Solution'!$D$29,'Rachford-Rice-Solution'!$E$29,B90)</f>
        <v>-0.29588959914798374</v>
      </c>
    </row>
    <row r="91" spans="1:3" x14ac:dyDescent="0.35">
      <c r="A91">
        <v>89</v>
      </c>
      <c r="B91">
        <f>B90+('Rachford-Rice-Solution'!$M$29-'Rachford-Rice-Solution'!$L$29)/999</f>
        <v>0.11016493746932676</v>
      </c>
      <c r="C91" cm="1">
        <f t="array" ref="C91">RR_Eq('Rachford-Rice-Solution'!$B$29,'Rachford-Rice-Solution'!$C$29,'Rachford-Rice-Solution'!$D$29,'Rachford-Rice-Solution'!$E$29,B91)</f>
        <v>-0.30268954924263924</v>
      </c>
    </row>
    <row r="92" spans="1:3" x14ac:dyDescent="0.35">
      <c r="A92">
        <v>90</v>
      </c>
      <c r="B92">
        <f>B91+('Rachford-Rice-Solution'!$M$29-'Rachford-Rice-Solution'!$L$29)/999</f>
        <v>0.11143244262032402</v>
      </c>
      <c r="C92" cm="1">
        <f t="array" ref="C92">RR_Eq('Rachford-Rice-Solution'!$B$29,'Rachford-Rice-Solution'!$C$29,'Rachford-Rice-Solution'!$D$29,'Rachford-Rice-Solution'!$E$29,B92)</f>
        <v>-0.30935877531263334</v>
      </c>
    </row>
    <row r="93" spans="1:3" x14ac:dyDescent="0.35">
      <c r="A93">
        <v>91</v>
      </c>
      <c r="B93">
        <f>B92+('Rachford-Rice-Solution'!$M$29-'Rachford-Rice-Solution'!$L$29)/999</f>
        <v>0.11269994777132128</v>
      </c>
      <c r="C93" cm="1">
        <f t="array" ref="C93">RR_Eq('Rachford-Rice-Solution'!$B$29,'Rachford-Rice-Solution'!$C$29,'Rachford-Rice-Solution'!$D$29,'Rachford-Rice-Solution'!$E$29,B93)</f>
        <v>-0.31590170689960217</v>
      </c>
    </row>
    <row r="94" spans="1:3" x14ac:dyDescent="0.35">
      <c r="A94">
        <v>92</v>
      </c>
      <c r="B94">
        <f>B93+('Rachford-Rice-Solution'!$M$29-'Rachford-Rice-Solution'!$L$29)/999</f>
        <v>0.11396745292231854</v>
      </c>
      <c r="C94" cm="1">
        <f t="array" ref="C94">RR_Eq('Rachford-Rice-Solution'!$B$29,'Rachford-Rice-Solution'!$C$29,'Rachford-Rice-Solution'!$D$29,'Rachford-Rice-Solution'!$E$29,B94)</f>
        <v>-0.32232257915407281</v>
      </c>
    </row>
    <row r="95" spans="1:3" x14ac:dyDescent="0.35">
      <c r="A95">
        <v>93</v>
      </c>
      <c r="B95">
        <f>B94+('Rachford-Rice-Solution'!$M$29-'Rachford-Rice-Solution'!$L$29)/999</f>
        <v>0.1152349580733158</v>
      </c>
      <c r="C95" cm="1">
        <f t="array" ref="C95">RR_Eq('Rachford-Rice-Solution'!$B$29,'Rachford-Rice-Solution'!$C$29,'Rachford-Rice-Solution'!$D$29,'Rachford-Rice-Solution'!$E$29,B95)</f>
        <v>-0.32862544340191036</v>
      </c>
    </row>
    <row r="96" spans="1:3" x14ac:dyDescent="0.35">
      <c r="A96">
        <v>94</v>
      </c>
      <c r="B96">
        <f>B95+('Rachford-Rice-Solution'!$M$29-'Rachford-Rice-Solution'!$L$29)/999</f>
        <v>0.11650246322431305</v>
      </c>
      <c r="C96" cm="1">
        <f t="array" ref="C96">RR_Eq('Rachford-Rice-Solution'!$B$29,'Rachford-Rice-Solution'!$C$29,'Rachford-Rice-Solution'!$D$29,'Rachford-Rice-Solution'!$E$29,B96)</f>
        <v>-0.33481417702906879</v>
      </c>
    </row>
    <row r="97" spans="1:3" x14ac:dyDescent="0.35">
      <c r="A97">
        <v>95</v>
      </c>
      <c r="B97">
        <f>B96+('Rachford-Rice-Solution'!$M$29-'Rachford-Rice-Solution'!$L$29)/999</f>
        <v>0.11776996837531031</v>
      </c>
      <c r="C97" cm="1">
        <f t="array" ref="C97">RR_Eq('Rachford-Rice-Solution'!$B$29,'Rachford-Rice-Solution'!$C$29,'Rachford-Rice-Solution'!$D$29,'Rachford-Rice-Solution'!$E$29,B97)</f>
        <v>-0.34089249273541272</v>
      </c>
    </row>
    <row r="98" spans="1:3" x14ac:dyDescent="0.35">
      <c r="A98">
        <v>96</v>
      </c>
      <c r="B98">
        <f>B97+('Rachford-Rice-Solution'!$M$29-'Rachford-Rice-Solution'!$L$29)/999</f>
        <v>0.11903747352630757</v>
      </c>
      <c r="C98" cm="1">
        <f t="array" ref="C98">RR_Eq('Rachford-Rice-Solution'!$B$29,'Rachford-Rice-Solution'!$C$29,'Rachford-Rice-Solution'!$D$29,'Rachford-Rice-Solution'!$E$29,B98)</f>
        <v>-0.3468639472040968</v>
      </c>
    </row>
    <row r="99" spans="1:3" x14ac:dyDescent="0.35">
      <c r="A99">
        <v>97</v>
      </c>
      <c r="B99">
        <f>B98+('Rachford-Rice-Solution'!$M$29-'Rachford-Rice-Solution'!$L$29)/999</f>
        <v>0.12030497867730483</v>
      </c>
      <c r="C99" cm="1">
        <f t="array" ref="C99">RR_Eq('Rachford-Rice-Solution'!$B$29,'Rachford-Rice-Solution'!$C$29,'Rachford-Rice-Solution'!$D$29,'Rachford-Rice-Solution'!$E$29,B99)</f>
        <v>-0.35273194922912177</v>
      </c>
    </row>
    <row r="100" spans="1:3" x14ac:dyDescent="0.35">
      <c r="A100">
        <v>98</v>
      </c>
      <c r="B100">
        <f>B99+('Rachford-Rice-Solution'!$M$29-'Rachford-Rice-Solution'!$L$29)/999</f>
        <v>0.12157248382830209</v>
      </c>
      <c r="C100" cm="1">
        <f t="array" ref="C100">RR_Eq('Rachford-Rice-Solution'!$B$29,'Rachford-Rice-Solution'!$C$29,'Rachford-Rice-Solution'!$D$29,'Rachford-Rice-Solution'!$E$29,B100)</f>
        <v>-0.35849976734016487</v>
      </c>
    </row>
    <row r="101" spans="1:3" x14ac:dyDescent="0.35">
      <c r="A101">
        <v>99</v>
      </c>
      <c r="B101">
        <f>B100+('Rachford-Rice-Solution'!$M$29-'Rachford-Rice-Solution'!$L$29)/999</f>
        <v>0.12283998897929935</v>
      </c>
      <c r="C101" cm="1">
        <f t="array" ref="C101">RR_Eq('Rachford-Rice-Solution'!$B$29,'Rachford-Rice-Solution'!$C$29,'Rachford-Rice-Solution'!$D$29,'Rachford-Rice-Solution'!$E$29,B101)</f>
        <v>-0.36417053696059548</v>
      </c>
    </row>
    <row r="102" spans="1:3" x14ac:dyDescent="0.35">
      <c r="A102">
        <v>100</v>
      </c>
      <c r="B102">
        <f>B101+('Rachford-Rice-Solution'!$M$29-'Rachford-Rice-Solution'!$L$29)/999</f>
        <v>0.12410749413029661</v>
      </c>
      <c r="C102" cm="1">
        <f t="array" ref="C102">RR_Eq('Rachford-Rice-Solution'!$B$29,'Rachford-Rice-Solution'!$C$29,'Rachford-Rice-Solution'!$D$29,'Rachford-Rice-Solution'!$E$29,B102)</f>
        <v>-0.36974726713168282</v>
      </c>
    </row>
    <row r="103" spans="1:3" x14ac:dyDescent="0.35">
      <c r="A103">
        <v>101</v>
      </c>
      <c r="B103">
        <f>B102+('Rachford-Rice-Solution'!$M$29-'Rachford-Rice-Solution'!$L$29)/999</f>
        <v>0.12537499928129386</v>
      </c>
      <c r="C103" cm="1">
        <f t="array" ref="C103">RR_Eq('Rachford-Rice-Solution'!$B$29,'Rachford-Rice-Solution'!$C$29,'Rachford-Rice-Solution'!$D$29,'Rachford-Rice-Solution'!$E$29,B103)</f>
        <v>-0.37523284683336178</v>
      </c>
    </row>
    <row r="104" spans="1:3" x14ac:dyDescent="0.35">
      <c r="A104">
        <v>102</v>
      </c>
      <c r="B104">
        <f>B103+('Rachford-Rice-Solution'!$M$29-'Rachford-Rice-Solution'!$L$29)/999</f>
        <v>0.12664250443229111</v>
      </c>
      <c r="C104" cm="1">
        <f t="array" ref="C104">RR_Eq('Rachford-Rice-Solution'!$B$29,'Rachford-Rice-Solution'!$C$29,'Rachford-Rice-Solution'!$D$29,'Rachford-Rice-Solution'!$E$29,B104)</f>
        <v>-0.38063005092951868</v>
      </c>
    </row>
    <row r="105" spans="1:3" x14ac:dyDescent="0.35">
      <c r="A105">
        <v>103</v>
      </c>
      <c r="B105">
        <f>B104+('Rachford-Rice-Solution'!$M$29-'Rachford-Rice-Solution'!$L$29)/999</f>
        <v>0.12791000958328835</v>
      </c>
      <c r="C105" cm="1">
        <f t="array" ref="C105">RR_Eq('Rachford-Rice-Solution'!$B$29,'Rachford-Rice-Solution'!$C$29,'Rachford-Rice-Solution'!$D$29,'Rachford-Rice-Solution'!$E$29,B105)</f>
        <v>-0.38594154576356648</v>
      </c>
    </row>
    <row r="106" spans="1:3" x14ac:dyDescent="0.35">
      <c r="A106">
        <v>104</v>
      </c>
      <c r="B106">
        <f>B105+('Rachford-Rice-Solution'!$M$29-'Rachford-Rice-Solution'!$L$29)/999</f>
        <v>0.1291775147342856</v>
      </c>
      <c r="C106" cm="1">
        <f t="array" ref="C106">RR_Eq('Rachford-Rice-Solution'!$B$29,'Rachford-Rice-Solution'!$C$29,'Rachford-Rice-Solution'!$D$29,'Rachford-Rice-Solution'!$E$29,B106)</f>
        <v>-0.39116989442807332</v>
      </c>
    </row>
    <row r="107" spans="1:3" x14ac:dyDescent="0.35">
      <c r="A107">
        <v>105</v>
      </c>
      <c r="B107">
        <f>B106+('Rachford-Rice-Solution'!$M$29-'Rachford-Rice-Solution'!$L$29)/999</f>
        <v>0.13044501988528284</v>
      </c>
      <c r="C107" cm="1">
        <f t="array" ref="C107">RR_Eq('Rachford-Rice-Solution'!$B$29,'Rachford-Rice-Solution'!$C$29,'Rachford-Rice-Solution'!$D$29,'Rachford-Rice-Solution'!$E$29,B107)</f>
        <v>-0.39631756173038574</v>
      </c>
    </row>
    <row r="108" spans="1:3" x14ac:dyDescent="0.35">
      <c r="A108">
        <v>106</v>
      </c>
      <c r="B108">
        <f>B107+('Rachford-Rice-Solution'!$M$29-'Rachford-Rice-Solution'!$L$29)/999</f>
        <v>0.13171252503628009</v>
      </c>
      <c r="C108" cm="1">
        <f t="array" ref="C108">RR_Eq('Rachford-Rice-Solution'!$B$29,'Rachford-Rice-Solution'!$C$29,'Rachford-Rice-Solution'!$D$29,'Rachford-Rice-Solution'!$E$29,B108)</f>
        <v>-0.40138691887451339</v>
      </c>
    </row>
    <row r="109" spans="1:3" x14ac:dyDescent="0.35">
      <c r="A109">
        <v>107</v>
      </c>
      <c r="B109">
        <f>B108+('Rachford-Rice-Solution'!$M$29-'Rachford-Rice-Solution'!$L$29)/999</f>
        <v>0.13298003018727733</v>
      </c>
      <c r="C109" cm="1">
        <f t="array" ref="C109">RR_Eq('Rachford-Rice-Solution'!$B$29,'Rachford-Rice-Solution'!$C$29,'Rachford-Rice-Solution'!$D$29,'Rachford-Rice-Solution'!$E$29,B109)</f>
        <v>-0.40638024787801169</v>
      </c>
    </row>
    <row r="110" spans="1:3" x14ac:dyDescent="0.35">
      <c r="A110">
        <v>108</v>
      </c>
      <c r="B110">
        <f>B109+('Rachford-Rice-Solution'!$M$29-'Rachford-Rice-Solution'!$L$29)/999</f>
        <v>0.13424753533827458</v>
      </c>
      <c r="C110" cm="1">
        <f t="array" ref="C110">RR_Eq('Rachford-Rice-Solution'!$B$29,'Rachford-Rice-Solution'!$C$29,'Rachford-Rice-Solution'!$D$29,'Rachford-Rice-Solution'!$E$29,B110)</f>
        <v>-0.41129974574120026</v>
      </c>
    </row>
    <row r="111" spans="1:3" x14ac:dyDescent="0.35">
      <c r="A111">
        <v>109</v>
      </c>
      <c r="B111">
        <f>B110+('Rachford-Rice-Solution'!$M$29-'Rachford-Rice-Solution'!$L$29)/999</f>
        <v>0.13551504048927182</v>
      </c>
      <c r="C111" cm="1">
        <f t="array" ref="C111">RR_Eq('Rachford-Rice-Solution'!$B$29,'Rachford-Rice-Solution'!$C$29,'Rachford-Rice-Solution'!$D$29,'Rachford-Rice-Solution'!$E$29,B111)</f>
        <v>-0.41614752838476726</v>
      </c>
    </row>
    <row r="112" spans="1:3" x14ac:dyDescent="0.35">
      <c r="A112">
        <v>110</v>
      </c>
      <c r="B112">
        <f>B111+('Rachford-Rice-Solution'!$M$29-'Rachford-Rice-Solution'!$L$29)/999</f>
        <v>0.13678254564026907</v>
      </c>
      <c r="C112" cm="1">
        <f t="array" ref="C112">RR_Eq('Rachford-Rice-Solution'!$B$29,'Rachford-Rice-Solution'!$C$29,'Rachford-Rice-Solution'!$D$29,'Rachford-Rice-Solution'!$E$29,B112)</f>
        <v>-0.42092563437063862</v>
      </c>
    </row>
    <row r="113" spans="1:3" x14ac:dyDescent="0.35">
      <c r="A113">
        <v>111</v>
      </c>
      <c r="B113">
        <f>B112+('Rachford-Rice-Solution'!$M$29-'Rachford-Rice-Solution'!$L$29)/999</f>
        <v>0.13805005079126631</v>
      </c>
      <c r="C113" cm="1">
        <f t="array" ref="C113">RR_Eq('Rachford-Rice-Solution'!$B$29,'Rachford-Rice-Solution'!$C$29,'Rachford-Rice-Solution'!$D$29,'Rachford-Rice-Solution'!$E$29,B113)</f>
        <v>-0.42563602841989906</v>
      </c>
    </row>
    <row r="114" spans="1:3" x14ac:dyDescent="0.35">
      <c r="A114">
        <v>112</v>
      </c>
      <c r="B114">
        <f>B113+('Rachford-Rice-Solution'!$M$29-'Rachford-Rice-Solution'!$L$29)/999</f>
        <v>0.13931755594226355</v>
      </c>
      <c r="C114" cm="1">
        <f t="array" ref="C114">RR_Eq('Rachford-Rice-Solution'!$B$29,'Rachford-Rice-Solution'!$C$29,'Rachford-Rice-Solution'!$D$29,'Rachford-Rice-Solution'!$E$29,B114)</f>
        <v>-0.43028060474056684</v>
      </c>
    </row>
    <row r="115" spans="1:3" x14ac:dyDescent="0.35">
      <c r="A115">
        <v>113</v>
      </c>
      <c r="B115">
        <f>B114+('Rachford-Rice-Solution'!$M$29-'Rachford-Rice-Solution'!$L$29)/999</f>
        <v>0.1405850610932608</v>
      </c>
      <c r="C115" cm="1">
        <f t="array" ref="C115">RR_Eq('Rachford-Rice-Solution'!$B$29,'Rachford-Rice-Solution'!$C$29,'Rachford-Rice-Solution'!$D$29,'Rachford-Rice-Solution'!$E$29,B115)</f>
        <v>-0.43486119017710656</v>
      </c>
    </row>
    <row r="116" spans="1:3" x14ac:dyDescent="0.35">
      <c r="A116">
        <v>114</v>
      </c>
      <c r="B116">
        <f>B115+('Rachford-Rice-Solution'!$M$29-'Rachford-Rice-Solution'!$L$29)/999</f>
        <v>0.14185256624425804</v>
      </c>
      <c r="C116" cm="1">
        <f t="array" ref="C116">RR_Eq('Rachford-Rice-Solution'!$B$29,'Rachford-Rice-Solution'!$C$29,'Rachford-Rice-Solution'!$D$29,'Rachford-Rice-Solution'!$E$29,B116)</f>
        <v>-0.43937954719272004</v>
      </c>
    </row>
    <row r="117" spans="1:3" x14ac:dyDescent="0.35">
      <c r="A117">
        <v>115</v>
      </c>
      <c r="B117">
        <f>B116+('Rachford-Rice-Solution'!$M$29-'Rachford-Rice-Solution'!$L$29)/999</f>
        <v>0.14312007139525529</v>
      </c>
      <c r="C117" cm="1">
        <f t="array" ref="C117">RR_Eq('Rachford-Rice-Solution'!$B$29,'Rachford-Rice-Solution'!$C$29,'Rachford-Rice-Solution'!$D$29,'Rachford-Rice-Solution'!$E$29,B117)</f>
        <v>-0.44383737669468737</v>
      </c>
    </row>
    <row r="118" spans="1:3" x14ac:dyDescent="0.35">
      <c r="A118">
        <v>116</v>
      </c>
      <c r="B118">
        <f>B117+('Rachford-Rice-Solution'!$M$29-'Rachford-Rice-Solution'!$L$29)/999</f>
        <v>0.14438757654625253</v>
      </c>
      <c r="C118" cm="1">
        <f t="array" ref="C118">RR_Eq('Rachford-Rice-Solution'!$B$29,'Rachford-Rice-Solution'!$C$29,'Rachford-Rice-Solution'!$D$29,'Rachford-Rice-Solution'!$E$29,B118)</f>
        <v>-0.44823632071230851</v>
      </c>
    </row>
    <row r="119" spans="1:3" x14ac:dyDescent="0.35">
      <c r="A119">
        <v>117</v>
      </c>
      <c r="B119">
        <f>B118+('Rachford-Rice-Solution'!$M$29-'Rachford-Rice-Solution'!$L$29)/999</f>
        <v>0.14565508169724978</v>
      </c>
      <c r="C119" cm="1">
        <f t="array" ref="C119">RR_Eq('Rachford-Rice-Solution'!$B$29,'Rachford-Rice-Solution'!$C$29,'Rachford-Rice-Solution'!$D$29,'Rachford-Rice-Solution'!$E$29,B119)</f>
        <v>-0.45257796493634117</v>
      </c>
    </row>
    <row r="120" spans="1:3" x14ac:dyDescent="0.35">
      <c r="A120">
        <v>118</v>
      </c>
      <c r="B120">
        <f>B119+('Rachford-Rice-Solution'!$M$29-'Rachford-Rice-Solution'!$L$29)/999</f>
        <v>0.14692258684824702</v>
      </c>
      <c r="C120" cm="1">
        <f t="array" ref="C120">RR_Eq('Rachford-Rice-Solution'!$B$29,'Rachford-Rice-Solution'!$C$29,'Rachford-Rice-Solution'!$D$29,'Rachford-Rice-Solution'!$E$29,B120)</f>
        <v>-0.45686384112822281</v>
      </c>
    </row>
    <row r="121" spans="1:3" x14ac:dyDescent="0.35">
      <c r="A121">
        <v>119</v>
      </c>
      <c r="B121">
        <f>B120+('Rachford-Rice-Solution'!$M$29-'Rachford-Rice-Solution'!$L$29)/999</f>
        <v>0.14819009199924427</v>
      </c>
      <c r="C121" cm="1">
        <f t="array" ref="C121">RR_Eq('Rachford-Rice-Solution'!$B$29,'Rachford-Rice-Solution'!$C$29,'Rachford-Rice-Solution'!$D$29,'Rachford-Rice-Solution'!$E$29,B121)</f>
        <v>-0.46109542940679982</v>
      </c>
    </row>
    <row r="122" spans="1:3" x14ac:dyDescent="0.35">
      <c r="A122">
        <v>120</v>
      </c>
      <c r="B122">
        <f>B121+('Rachford-Rice-Solution'!$M$29-'Rachford-Rice-Solution'!$L$29)/999</f>
        <v>0.14945759715024151</v>
      </c>
      <c r="C122" cm="1">
        <f t="array" ref="C122">RR_Eq('Rachford-Rice-Solution'!$B$29,'Rachford-Rice-Solution'!$C$29,'Rachford-Rice-Solution'!$D$29,'Rachford-Rice-Solution'!$E$29,B122)</f>
        <v>-0.4652741604197706</v>
      </c>
    </row>
    <row r="123" spans="1:3" x14ac:dyDescent="0.35">
      <c r="A123">
        <v>121</v>
      </c>
      <c r="B123">
        <f>B122+('Rachford-Rice-Solution'!$M$29-'Rachford-Rice-Solution'!$L$29)/999</f>
        <v>0.15072510230123876</v>
      </c>
      <c r="C123" cm="1">
        <f t="array" ref="C123">RR_Eq('Rachford-Rice-Solution'!$B$29,'Rachford-Rice-Solution'!$C$29,'Rachford-Rice-Solution'!$D$29,'Rachford-Rice-Solution'!$E$29,B123)</f>
        <v>-0.4694014174065666</v>
      </c>
    </row>
    <row r="124" spans="1:3" x14ac:dyDescent="0.35">
      <c r="A124">
        <v>122</v>
      </c>
      <c r="B124">
        <f>B123+('Rachford-Rice-Solution'!$M$29-'Rachford-Rice-Solution'!$L$29)/999</f>
        <v>0.151992607452236</v>
      </c>
      <c r="C124" cm="1">
        <f t="array" ref="C124">RR_Eq('Rachford-Rice-Solution'!$B$29,'Rachford-Rice-Solution'!$C$29,'Rachford-Rice-Solution'!$D$29,'Rachford-Rice-Solution'!$E$29,B124)</f>
        <v>-0.47347853815895363</v>
      </c>
    </row>
    <row r="125" spans="1:3" x14ac:dyDescent="0.35">
      <c r="A125">
        <v>123</v>
      </c>
      <c r="B125">
        <f>B124+('Rachford-Rice-Solution'!$M$29-'Rachford-Rice-Solution'!$L$29)/999</f>
        <v>0.15326011260323325</v>
      </c>
      <c r="C125" cm="1">
        <f t="array" ref="C125">RR_Eq('Rachford-Rice-Solution'!$B$29,'Rachford-Rice-Solution'!$C$29,'Rachford-Rice-Solution'!$D$29,'Rachford-Rice-Solution'!$E$29,B125)</f>
        <v>-0.47750681688521968</v>
      </c>
    </row>
    <row r="126" spans="1:3" x14ac:dyDescent="0.35">
      <c r="A126">
        <v>124</v>
      </c>
      <c r="B126">
        <f>B125+('Rachford-Rice-Solution'!$M$29-'Rachford-Rice-Solution'!$L$29)/999</f>
        <v>0.15452761775423049</v>
      </c>
      <c r="C126" cm="1">
        <f t="array" ref="C126">RR_Eq('Rachford-Rice-Solution'!$B$29,'Rachford-Rice-Solution'!$C$29,'Rachford-Rice-Solution'!$D$29,'Rachford-Rice-Solution'!$E$29,B126)</f>
        <v>-0.48148750598343776</v>
      </c>
    </row>
    <row r="127" spans="1:3" x14ac:dyDescent="0.35">
      <c r="A127">
        <v>125</v>
      </c>
      <c r="B127">
        <f>B126+('Rachford-Rice-Solution'!$M$29-'Rachford-Rice-Solution'!$L$29)/999</f>
        <v>0.15579512290522773</v>
      </c>
      <c r="C127" cm="1">
        <f t="array" ref="C127">RR_Eq('Rachford-Rice-Solution'!$B$29,'Rachford-Rice-Solution'!$C$29,'Rachford-Rice-Solution'!$D$29,'Rachford-Rice-Solution'!$E$29,B127)</f>
        <v>-0.48542181772893761</v>
      </c>
    </row>
    <row r="128" spans="1:3" x14ac:dyDescent="0.35">
      <c r="A128">
        <v>126</v>
      </c>
      <c r="B128">
        <f>B127+('Rachford-Rice-Solution'!$M$29-'Rachford-Rice-Solution'!$L$29)/999</f>
        <v>0.15706262805622498</v>
      </c>
      <c r="C128" cm="1">
        <f t="array" ref="C128">RR_Eq('Rachford-Rice-Solution'!$B$29,'Rachford-Rice-Solution'!$C$29,'Rachford-Rice-Solution'!$D$29,'Rachford-Rice-Solution'!$E$29,B128)</f>
        <v>-0.48931092588078723</v>
      </c>
    </row>
    <row r="129" spans="1:3" x14ac:dyDescent="0.35">
      <c r="A129">
        <v>127</v>
      </c>
      <c r="B129">
        <f>B128+('Rachford-Rice-Solution'!$M$29-'Rachford-Rice-Solution'!$L$29)/999</f>
        <v>0.15833013320722222</v>
      </c>
      <c r="C129" cm="1">
        <f t="array" ref="C129">RR_Eq('Rachford-Rice-Solution'!$B$29,'Rachford-Rice-Solution'!$C$29,'Rachford-Rice-Solution'!$D$29,'Rachford-Rice-Solution'!$E$29,B129)</f>
        <v>-0.49315596721178817</v>
      </c>
    </row>
    <row r="130" spans="1:3" x14ac:dyDescent="0.35">
      <c r="A130">
        <v>128</v>
      </c>
      <c r="B130">
        <f>B129+('Rachford-Rice-Solution'!$M$29-'Rachford-Rice-Solution'!$L$29)/999</f>
        <v>0.15959763835821947</v>
      </c>
      <c r="C130" cm="1">
        <f t="array" ref="C130">RR_Eq('Rachford-Rice-Solution'!$B$29,'Rachford-Rice-Solution'!$C$29,'Rachford-Rice-Solution'!$D$29,'Rachford-Rice-Solution'!$E$29,B130)</f>
        <v>-0.49695804296619722</v>
      </c>
    </row>
    <row r="131" spans="1:3" x14ac:dyDescent="0.35">
      <c r="A131">
        <v>129</v>
      </c>
      <c r="B131">
        <f>B130+('Rachford-Rice-Solution'!$M$29-'Rachford-Rice-Solution'!$L$29)/999</f>
        <v>0.16086514350921671</v>
      </c>
      <c r="C131" cm="1">
        <f t="array" ref="C131">RR_Eq('Rachford-Rice-Solution'!$B$29,'Rachford-Rice-Solution'!$C$29,'Rachford-Rice-Solution'!$D$29,'Rachford-Rice-Solution'!$E$29,B131)</f>
        <v>-0.50071822024912827</v>
      </c>
    </row>
    <row r="132" spans="1:3" x14ac:dyDescent="0.35">
      <c r="A132">
        <v>130</v>
      </c>
      <c r="B132">
        <f>B131+('Rachford-Rice-Solution'!$M$29-'Rachford-Rice-Solution'!$L$29)/999</f>
        <v>0.16213264866021396</v>
      </c>
      <c r="C132" cm="1">
        <f t="array" ref="C132">RR_Eq('Rachford-Rice-Solution'!$B$29,'Rachford-Rice-Solution'!$C$29,'Rachford-Rice-Solution'!$D$29,'Rachford-Rice-Solution'!$E$29,B132)</f>
        <v>-0.50443753335134178</v>
      </c>
    </row>
    <row r="133" spans="1:3" x14ac:dyDescent="0.35">
      <c r="A133">
        <v>131</v>
      </c>
      <c r="B133">
        <f>B132+('Rachford-Rice-Solution'!$M$29-'Rachford-Rice-Solution'!$L$29)/999</f>
        <v>0.1634001538112112</v>
      </c>
      <c r="C133" cm="1">
        <f t="array" ref="C133">RR_Eq('Rachford-Rice-Solution'!$B$29,'Rachford-Rice-Solution'!$C$29,'Rachford-Rice-Solution'!$D$29,'Rachford-Rice-Solution'!$E$29,B133)</f>
        <v>-0.50811698501290048</v>
      </c>
    </row>
    <row r="134" spans="1:3" x14ac:dyDescent="0.35">
      <c r="A134">
        <v>132</v>
      </c>
      <c r="B134">
        <f>B133+('Rachford-Rice-Solution'!$M$29-'Rachford-Rice-Solution'!$L$29)/999</f>
        <v>0.16466765896220845</v>
      </c>
      <c r="C134" cm="1">
        <f t="array" ref="C134">RR_Eq('Rachford-Rice-Solution'!$B$29,'Rachford-Rice-Solution'!$C$29,'Rachford-Rice-Solution'!$D$29,'Rachford-Rice-Solution'!$E$29,B134)</f>
        <v>-0.51175754762895864</v>
      </c>
    </row>
    <row r="135" spans="1:3" x14ac:dyDescent="0.35">
      <c r="A135">
        <v>133</v>
      </c>
      <c r="B135">
        <f>B134+('Rachford-Rice-Solution'!$M$29-'Rachford-Rice-Solution'!$L$29)/999</f>
        <v>0.16593516411320569</v>
      </c>
      <c r="C135" cm="1">
        <f t="array" ref="C135">RR_Eq('Rachford-Rice-Solution'!$B$29,'Rachford-Rice-Solution'!$C$29,'Rachford-Rice-Solution'!$D$29,'Rachford-Rice-Solution'!$E$29,B135)</f>
        <v>-0.51536016440075416</v>
      </c>
    </row>
    <row r="136" spans="1:3" x14ac:dyDescent="0.35">
      <c r="A136">
        <v>134</v>
      </c>
      <c r="B136">
        <f>B135+('Rachford-Rice-Solution'!$M$29-'Rachford-Rice-Solution'!$L$29)/999</f>
        <v>0.16720266926420294</v>
      </c>
      <c r="C136" cm="1">
        <f t="array" ref="C136">RR_Eq('Rachford-Rice-Solution'!$B$29,'Rachford-Rice-Solution'!$C$29,'Rachford-Rice-Solution'!$D$29,'Rachford-Rice-Solution'!$E$29,B136)</f>
        <v>-0.51892575043468514</v>
      </c>
    </row>
    <row r="137" spans="1:3" x14ac:dyDescent="0.35">
      <c r="A137">
        <v>135</v>
      </c>
      <c r="B137">
        <f>B136+('Rachford-Rice-Solution'!$M$29-'Rachford-Rice-Solution'!$L$29)/999</f>
        <v>0.16847017441520018</v>
      </c>
      <c r="C137" cm="1">
        <f t="array" ref="C137">RR_Eq('Rachford-Rice-Solution'!$B$29,'Rachford-Rice-Solution'!$C$29,'Rachford-Rice-Solution'!$D$29,'Rachford-Rice-Solution'!$E$29,B137)</f>
        <v>-0.52245519379218752</v>
      </c>
    </row>
    <row r="138" spans="1:3" x14ac:dyDescent="0.35">
      <c r="A138">
        <v>136</v>
      </c>
      <c r="B138">
        <f>B137+('Rachford-Rice-Solution'!$M$29-'Rachford-Rice-Solution'!$L$29)/999</f>
        <v>0.16973767956619742</v>
      </c>
      <c r="C138" cm="1">
        <f t="array" ref="C138">RR_Eq('Rachford-Rice-Solution'!$B$29,'Rachford-Rice-Solution'!$C$29,'Rachford-Rice-Solution'!$D$29,'Rachford-Rice-Solution'!$E$29,B138)</f>
        <v>-0.52594935649295893</v>
      </c>
    </row>
    <row r="139" spans="1:3" x14ac:dyDescent="0.35">
      <c r="A139">
        <v>137</v>
      </c>
      <c r="B139">
        <f>B138+('Rachford-Rice-Solution'!$M$29-'Rachford-Rice-Solution'!$L$29)/999</f>
        <v>0.17100518471719467</v>
      </c>
      <c r="C139" cm="1">
        <f t="array" ref="C139">RR_Eq('Rachford-Rice-Solution'!$B$29,'Rachford-Rice-Solution'!$C$29,'Rachford-Rice-Solution'!$D$29,'Rachford-Rice-Solution'!$E$29,B139)</f>
        <v>-0.52940907547393667</v>
      </c>
    </row>
    <row r="140" spans="1:3" x14ac:dyDescent="0.35">
      <c r="A140">
        <v>138</v>
      </c>
      <c r="B140">
        <f>B139+('Rachford-Rice-Solution'!$M$29-'Rachford-Rice-Solution'!$L$29)/999</f>
        <v>0.17227268986819191</v>
      </c>
      <c r="C140" cm="1">
        <f t="array" ref="C140">RR_Eq('Rachford-Rice-Solution'!$B$29,'Rachford-Rice-Solution'!$C$29,'Rachford-Rice-Solution'!$D$29,'Rachford-Rice-Solution'!$E$29,B140)</f>
        <v>-0.53283516350628535</v>
      </c>
    </row>
    <row r="141" spans="1:3" x14ac:dyDescent="0.35">
      <c r="A141">
        <v>139</v>
      </c>
      <c r="B141">
        <f>B140+('Rachford-Rice-Solution'!$M$29-'Rachford-Rice-Solution'!$L$29)/999</f>
        <v>0.17354019501918916</v>
      </c>
      <c r="C141" cm="1">
        <f t="array" ref="C141">RR_Eq('Rachford-Rice-Solution'!$B$29,'Rachford-Rice-Solution'!$C$29,'Rachford-Rice-Solution'!$D$29,'Rachford-Rice-Solution'!$E$29,B141)</f>
        <v>-0.53622841007252731</v>
      </c>
    </row>
    <row r="142" spans="1:3" x14ac:dyDescent="0.35">
      <c r="A142">
        <v>140</v>
      </c>
      <c r="B142">
        <f>B141+('Rachford-Rice-Solution'!$M$29-'Rachford-Rice-Solution'!$L$29)/999</f>
        <v>0.1748077001701864</v>
      </c>
      <c r="C142" cm="1">
        <f t="array" ref="C142">RR_Eq('Rachford-Rice-Solution'!$B$29,'Rachford-Rice-Solution'!$C$29,'Rachford-Rice-Solution'!$D$29,'Rachford-Rice-Solution'!$E$29,B142)</f>
        <v>-0.53958958220582076</v>
      </c>
    </row>
    <row r="143" spans="1:3" x14ac:dyDescent="0.35">
      <c r="A143">
        <v>141</v>
      </c>
      <c r="B143">
        <f>B142+('Rachford-Rice-Solution'!$M$29-'Rachford-Rice-Solution'!$L$29)/999</f>
        <v>0.17607520532118365</v>
      </c>
      <c r="C143" cm="1">
        <f t="array" ref="C143">RR_Eq('Rachford-Rice-Solution'!$B$29,'Rachford-Rice-Solution'!$C$29,'Rachford-Rice-Solution'!$D$29,'Rachford-Rice-Solution'!$E$29,B143)</f>
        <v>-0.54291942529328197</v>
      </c>
    </row>
    <row r="144" spans="1:3" x14ac:dyDescent="0.35">
      <c r="A144">
        <v>142</v>
      </c>
      <c r="B144">
        <f>B143+('Rachford-Rice-Solution'!$M$29-'Rachford-Rice-Solution'!$L$29)/999</f>
        <v>0.17734271047218089</v>
      </c>
      <c r="C144" cm="1">
        <f t="array" ref="C144">RR_Eq('Rachford-Rice-Solution'!$B$29,'Rachford-Rice-Solution'!$C$29,'Rachford-Rice-Solution'!$D$29,'Rachford-Rice-Solution'!$E$29,B144)</f>
        <v>-0.54621866384513185</v>
      </c>
    </row>
    <row r="145" spans="1:3" x14ac:dyDescent="0.35">
      <c r="A145">
        <v>143</v>
      </c>
      <c r="B145">
        <f>B144+('Rachford-Rice-Solution'!$M$29-'Rachford-Rice-Solution'!$L$29)/999</f>
        <v>0.17861021562317814</v>
      </c>
      <c r="C145" cm="1">
        <f t="array" ref="C145">RR_Eq('Rachford-Rice-Solution'!$B$29,'Rachford-Rice-Solution'!$C$29,'Rachford-Rice-Solution'!$D$29,'Rachford-Rice-Solution'!$E$29,B145)</f>
        <v>-0.54948800223135597</v>
      </c>
    </row>
    <row r="146" spans="1:3" x14ac:dyDescent="0.35">
      <c r="A146">
        <v>144</v>
      </c>
      <c r="B146">
        <f>B145+('Rachford-Rice-Solution'!$M$29-'Rachford-Rice-Solution'!$L$29)/999</f>
        <v>0.17987772077417538</v>
      </c>
      <c r="C146" cm="1">
        <f t="array" ref="C146">RR_Eq('Rachford-Rice-Solution'!$B$29,'Rachford-Rice-Solution'!$C$29,'Rachford-Rice-Solution'!$D$29,'Rachford-Rice-Solution'!$E$29,B146)</f>
        <v>-0.55272812538746574</v>
      </c>
    </row>
    <row r="147" spans="1:3" x14ac:dyDescent="0.35">
      <c r="A147">
        <v>145</v>
      </c>
      <c r="B147">
        <f>B146+('Rachford-Rice-Solution'!$M$29-'Rachford-Rice-Solution'!$L$29)/999</f>
        <v>0.18114522592517263</v>
      </c>
      <c r="C147" cm="1">
        <f t="array" ref="C147">RR_Eq('Rachford-Rice-Solution'!$B$29,'Rachford-Rice-Solution'!$C$29,'Rachford-Rice-Solution'!$D$29,'Rachford-Rice-Solution'!$E$29,B147)</f>
        <v>-0.55593969949086408</v>
      </c>
    </row>
    <row r="148" spans="1:3" x14ac:dyDescent="0.35">
      <c r="A148">
        <v>146</v>
      </c>
      <c r="B148">
        <f>B147+('Rachford-Rice-Solution'!$M$29-'Rachford-Rice-Solution'!$L$29)/999</f>
        <v>0.18241273107616987</v>
      </c>
      <c r="C148" cm="1">
        <f t="array" ref="C148">RR_Eq('Rachford-Rice-Solution'!$B$29,'Rachford-Rice-Solution'!$C$29,'Rachford-Rice-Solution'!$D$29,'Rachford-Rice-Solution'!$E$29,B148)</f>
        <v>-0.55912337260923395</v>
      </c>
    </row>
    <row r="149" spans="1:3" x14ac:dyDescent="0.35">
      <c r="A149">
        <v>147</v>
      </c>
      <c r="B149">
        <f>B148+('Rachford-Rice-Solution'!$M$29-'Rachford-Rice-Solution'!$L$29)/999</f>
        <v>0.18368023622716712</v>
      </c>
      <c r="C149" cm="1">
        <f t="array" ref="C149">RR_Eq('Rachford-Rice-Solution'!$B$29,'Rachford-Rice-Solution'!$C$29,'Rachford-Rice-Solution'!$D$29,'Rachford-Rice-Solution'!$E$29,B149)</f>
        <v>-0.56227977532229301</v>
      </c>
    </row>
    <row r="150" spans="1:3" x14ac:dyDescent="0.35">
      <c r="A150">
        <v>148</v>
      </c>
      <c r="B150">
        <f>B149+('Rachford-Rice-Solution'!$M$29-'Rachford-Rice-Solution'!$L$29)/999</f>
        <v>0.18494774137816436</v>
      </c>
      <c r="C150" cm="1">
        <f t="array" ref="C150">RR_Eq('Rachford-Rice-Solution'!$B$29,'Rachford-Rice-Solution'!$C$29,'Rachford-Rice-Solution'!$D$29,'Rachford-Rice-Solution'!$E$29,B150)</f>
        <v>-0.5654095213181789</v>
      </c>
    </row>
    <row r="151" spans="1:3" x14ac:dyDescent="0.35">
      <c r="A151">
        <v>149</v>
      </c>
      <c r="B151">
        <f>B150+('Rachford-Rice-Solution'!$M$29-'Rachford-Rice-Solution'!$L$29)/999</f>
        <v>0.1862152465291616</v>
      </c>
      <c r="C151" cm="1">
        <f t="array" ref="C151">RR_Eq('Rachford-Rice-Solution'!$B$29,'Rachford-Rice-Solution'!$C$29,'Rachford-Rice-Solution'!$D$29,'Rachford-Rice-Solution'!$E$29,B151)</f>
        <v>-0.56851320796567051</v>
      </c>
    </row>
    <row r="152" spans="1:3" x14ac:dyDescent="0.35">
      <c r="A152">
        <v>150</v>
      </c>
      <c r="B152">
        <f>B151+('Rachford-Rice-Solution'!$M$29-'Rachford-Rice-Solution'!$L$29)/999</f>
        <v>0.18748275168015885</v>
      </c>
      <c r="C152" cm="1">
        <f t="array" ref="C152">RR_Eq('Rachford-Rice-Solution'!$B$29,'Rachford-Rice-Solution'!$C$29,'Rachford-Rice-Solution'!$D$29,'Rachford-Rice-Solution'!$E$29,B152)</f>
        <v>-0.57159141686337578</v>
      </c>
    </row>
    <row r="153" spans="1:3" x14ac:dyDescent="0.35">
      <c r="A153">
        <v>151</v>
      </c>
      <c r="B153">
        <f>B152+('Rachford-Rice-Solution'!$M$29-'Rachford-Rice-Solution'!$L$29)/999</f>
        <v>0.18875025683115609</v>
      </c>
      <c r="C153" cm="1">
        <f t="array" ref="C153">RR_Eq('Rachford-Rice-Solution'!$B$29,'Rachford-Rice-Solution'!$C$29,'Rachford-Rice-Solution'!$D$29,'Rachford-Rice-Solution'!$E$29,B153)</f>
        <v>-0.57464471436696363</v>
      </c>
    </row>
    <row r="154" spans="1:3" x14ac:dyDescent="0.35">
      <c r="A154">
        <v>152</v>
      </c>
      <c r="B154">
        <f>B153+('Rachford-Rice-Solution'!$M$29-'Rachford-Rice-Solution'!$L$29)/999</f>
        <v>0.19001776198215334</v>
      </c>
      <c r="C154" cm="1">
        <f t="array" ref="C154">RR_Eq('Rachford-Rice-Solution'!$B$29,'Rachford-Rice-Solution'!$C$29,'Rachford-Rice-Solution'!$D$29,'Rachford-Rice-Solution'!$E$29,B154)</f>
        <v>-0.57767365209545707</v>
      </c>
    </row>
    <row r="155" spans="1:3" x14ac:dyDescent="0.35">
      <c r="A155">
        <v>153</v>
      </c>
      <c r="B155">
        <f>B154+('Rachford-Rice-Solution'!$M$29-'Rachford-Rice-Solution'!$L$29)/999</f>
        <v>0.19128526713315058</v>
      </c>
      <c r="C155" cm="1">
        <f t="array" ref="C155">RR_Eq('Rachford-Rice-Solution'!$B$29,'Rachford-Rice-Solution'!$C$29,'Rachford-Rice-Solution'!$D$29,'Rachford-Rice-Solution'!$E$29,B155)</f>
        <v>-0.58067876741755231</v>
      </c>
    </row>
    <row r="156" spans="1:3" x14ac:dyDescent="0.35">
      <c r="A156">
        <v>154</v>
      </c>
      <c r="B156">
        <f>B155+('Rachford-Rice-Solution'!$M$29-'Rachford-Rice-Solution'!$L$29)/999</f>
        <v>0.19255277228414783</v>
      </c>
      <c r="C156" cm="1">
        <f t="array" ref="C156">RR_Eq('Rachford-Rice-Solution'!$B$29,'Rachford-Rice-Solution'!$C$29,'Rachford-Rice-Solution'!$D$29,'Rachford-Rice-Solution'!$E$29,B156)</f>
        <v>-0.5836605839188771</v>
      </c>
    </row>
    <row r="157" spans="1:3" x14ac:dyDescent="0.35">
      <c r="A157">
        <v>155</v>
      </c>
      <c r="B157">
        <f>B156+('Rachford-Rice-Solution'!$M$29-'Rachford-Rice-Solution'!$L$29)/999</f>
        <v>0.19382027743514507</v>
      </c>
      <c r="C157" cm="1">
        <f t="array" ref="C157">RR_Eq('Rachford-Rice-Solution'!$B$29,'Rachford-Rice-Solution'!$C$29,'Rachford-Rice-Solution'!$D$29,'Rachford-Rice-Solution'!$E$29,B157)</f>
        <v>-0.58661961185105582</v>
      </c>
    </row>
    <row r="158" spans="1:3" x14ac:dyDescent="0.35">
      <c r="A158">
        <v>156</v>
      </c>
      <c r="B158">
        <f>B157+('Rachford-Rice-Solution'!$M$29-'Rachford-Rice-Solution'!$L$29)/999</f>
        <v>0.19508778258614232</v>
      </c>
      <c r="C158" cm="1">
        <f t="array" ref="C158">RR_Eq('Rachford-Rice-Solution'!$B$29,'Rachford-Rice-Solution'!$C$29,'Rachford-Rice-Solution'!$D$29,'Rachford-Rice-Solution'!$E$29,B158)</f>
        <v>-0.58955634856340133</v>
      </c>
    </row>
    <row r="159" spans="1:3" x14ac:dyDescent="0.35">
      <c r="A159">
        <v>157</v>
      </c>
      <c r="B159">
        <f>B158+('Rachford-Rice-Solution'!$M$29-'Rachford-Rice-Solution'!$L$29)/999</f>
        <v>0.19635528773713956</v>
      </c>
      <c r="C159" cm="1">
        <f t="array" ref="C159">RR_Eq('Rachford-Rice-Solution'!$B$29,'Rachford-Rice-Solution'!$C$29,'Rachford-Rice-Solution'!$D$29,'Rachford-Rice-Solution'!$E$29,B159)</f>
        <v>-0.59247127891801599</v>
      </c>
    </row>
    <row r="160" spans="1:3" x14ac:dyDescent="0.35">
      <c r="A160">
        <v>158</v>
      </c>
      <c r="B160">
        <f>B159+('Rachford-Rice-Solution'!$M$29-'Rachford-Rice-Solution'!$L$29)/999</f>
        <v>0.19762279288813681</v>
      </c>
      <c r="C160" cm="1">
        <f t="array" ref="C160">RR_Eq('Rachford-Rice-Solution'!$B$29,'Rachford-Rice-Solution'!$C$29,'Rachford-Rice-Solution'!$D$29,'Rachford-Rice-Solution'!$E$29,B160)</f>
        <v>-0.59536487568903829</v>
      </c>
    </row>
    <row r="161" spans="1:3" x14ac:dyDescent="0.35">
      <c r="A161">
        <v>159</v>
      </c>
      <c r="B161">
        <f>B160+('Rachford-Rice-Solution'!$M$29-'Rachford-Rice-Solution'!$L$29)/999</f>
        <v>0.19889029803913405</v>
      </c>
      <c r="C161" cm="1">
        <f t="array" ref="C161">RR_Eq('Rachford-Rice-Solution'!$B$29,'Rachford-Rice-Solution'!$C$29,'Rachford-Rice-Solution'!$D$29,'Rachford-Rice-Solution'!$E$29,B161)</f>
        <v>-0.59823759994674042</v>
      </c>
    </row>
    <row r="162" spans="1:3" x14ac:dyDescent="0.35">
      <c r="A162">
        <v>160</v>
      </c>
      <c r="B162">
        <f>B161+('Rachford-Rice-Solution'!$M$29-'Rachford-Rice-Solution'!$L$29)/999</f>
        <v>0.20015780319013129</v>
      </c>
      <c r="C162" cm="1">
        <f t="array" ref="C162">RR_Eq('Rachford-Rice-Solution'!$B$29,'Rachford-Rice-Solution'!$C$29,'Rachford-Rice-Solution'!$D$29,'Rachford-Rice-Solution'!$E$29,B162)</f>
        <v>-0.60108990142714325</v>
      </c>
    </row>
    <row r="163" spans="1:3" x14ac:dyDescent="0.35">
      <c r="A163">
        <v>161</v>
      </c>
      <c r="B163">
        <f>B162+('Rachford-Rice-Solution'!$M$29-'Rachford-Rice-Solution'!$L$29)/999</f>
        <v>0.20142530834112854</v>
      </c>
      <c r="C163" cm="1">
        <f t="array" ref="C163">RR_Eq('Rachford-Rice-Solution'!$B$29,'Rachford-Rice-Solution'!$C$29,'Rachford-Rice-Solution'!$D$29,'Rachford-Rice-Solution'!$E$29,B163)</f>
        <v>-0.60392221888777964</v>
      </c>
    </row>
    <row r="164" spans="1:3" x14ac:dyDescent="0.35">
      <c r="A164">
        <v>162</v>
      </c>
      <c r="B164">
        <f>B163+('Rachford-Rice-Solution'!$M$29-'Rachford-Rice-Solution'!$L$29)/999</f>
        <v>0.20269281349212578</v>
      </c>
      <c r="C164" cm="1">
        <f t="array" ref="C164">RR_Eq('Rachford-Rice-Solution'!$B$29,'Rachford-Rice-Solution'!$C$29,'Rachford-Rice-Solution'!$D$29,'Rachford-Rice-Solution'!$E$29,B164)</f>
        <v>-0.60673498045021268</v>
      </c>
    </row>
    <row r="165" spans="1:3" x14ac:dyDescent="0.35">
      <c r="A165">
        <v>163</v>
      </c>
      <c r="B165">
        <f>B164+('Rachford-Rice-Solution'!$M$29-'Rachford-Rice-Solution'!$L$29)/999</f>
        <v>0.20396031864312303</v>
      </c>
      <c r="C165" cm="1">
        <f t="array" ref="C165">RR_Eq('Rachford-Rice-Solution'!$B$29,'Rachford-Rice-Solution'!$C$29,'Rachford-Rice-Solution'!$D$29,'Rachford-Rice-Solution'!$E$29,B165)</f>
        <v>-0.60952860392987951</v>
      </c>
    </row>
    <row r="166" spans="1:3" x14ac:dyDescent="0.35">
      <c r="A166">
        <v>164</v>
      </c>
      <c r="B166">
        <f>B165+('Rachford-Rice-Solution'!$M$29-'Rachford-Rice-Solution'!$L$29)/999</f>
        <v>0.20522782379412027</v>
      </c>
      <c r="C166" cm="1">
        <f t="array" ref="C166">RR_Eq('Rachford-Rice-Solution'!$B$29,'Rachford-Rice-Solution'!$C$29,'Rachford-Rice-Solution'!$D$29,'Rachford-Rice-Solution'!$E$29,B166)</f>
        <v>-0.6123034971538025</v>
      </c>
    </row>
    <row r="167" spans="1:3" x14ac:dyDescent="0.35">
      <c r="A167">
        <v>165</v>
      </c>
      <c r="B167">
        <f>B166+('Rachford-Rice-Solution'!$M$29-'Rachford-Rice-Solution'!$L$29)/999</f>
        <v>0.20649532894511752</v>
      </c>
      <c r="C167" cm="1">
        <f t="array" ref="C167">RR_Eq('Rachford-Rice-Solution'!$B$29,'Rachford-Rice-Solution'!$C$29,'Rachford-Rice-Solution'!$D$29,'Rachford-Rice-Solution'!$E$29,B167)</f>
        <v>-0.61506005826669063</v>
      </c>
    </row>
    <row r="168" spans="1:3" x14ac:dyDescent="0.35">
      <c r="A168">
        <v>166</v>
      </c>
      <c r="B168">
        <f>B167+('Rachford-Rice-Solution'!$M$29-'Rachford-Rice-Solution'!$L$29)/999</f>
        <v>0.20776283409611476</v>
      </c>
      <c r="C168" cm="1">
        <f t="array" ref="C168">RR_Eq('Rachford-Rice-Solution'!$B$29,'Rachford-Rice-Solution'!$C$29,'Rachford-Rice-Solution'!$D$29,'Rachford-Rice-Solution'!$E$29,B168)</f>
        <v>-0.61779867602592031</v>
      </c>
    </row>
    <row r="169" spans="1:3" x14ac:dyDescent="0.35">
      <c r="A169">
        <v>167</v>
      </c>
      <c r="B169">
        <f>B168+('Rachford-Rice-Solution'!$M$29-'Rachford-Rice-Solution'!$L$29)/999</f>
        <v>0.20903033924711201</v>
      </c>
      <c r="C169" cm="1">
        <f t="array" ref="C169">RR_Eq('Rachford-Rice-Solution'!$B$29,'Rachford-Rice-Solution'!$C$29,'Rachford-Rice-Solution'!$D$29,'Rachford-Rice-Solution'!$E$29,B169)</f>
        <v>-0.62051973008586458</v>
      </c>
    </row>
    <row r="170" spans="1:3" x14ac:dyDescent="0.35">
      <c r="A170">
        <v>168</v>
      </c>
      <c r="B170">
        <f>B169+('Rachford-Rice-Solution'!$M$29-'Rachford-Rice-Solution'!$L$29)/999</f>
        <v>0.21029784439810925</v>
      </c>
      <c r="C170" cm="1">
        <f t="array" ref="C170">RR_Eq('Rachford-Rice-Solution'!$B$29,'Rachford-Rice-Solution'!$C$29,'Rachford-Rice-Solution'!$D$29,'Rachford-Rice-Solution'!$E$29,B170)</f>
        <v>-0.62322359127201921</v>
      </c>
    </row>
    <row r="171" spans="1:3" x14ac:dyDescent="0.35">
      <c r="A171">
        <v>169</v>
      </c>
      <c r="B171">
        <f>B170+('Rachford-Rice-Solution'!$M$29-'Rachford-Rice-Solution'!$L$29)/999</f>
        <v>0.2115653495491065</v>
      </c>
      <c r="C171" cm="1">
        <f t="array" ref="C171">RR_Eq('Rachford-Rice-Solution'!$B$29,'Rachford-Rice-Solution'!$C$29,'Rachford-Rice-Solution'!$D$29,'Rachford-Rice-Solution'!$E$29,B171)</f>
        <v>-0.62591062184535062</v>
      </c>
    </row>
    <row r="172" spans="1:3" x14ac:dyDescent="0.35">
      <c r="A172">
        <v>170</v>
      </c>
      <c r="B172">
        <f>B171+('Rachford-Rice-Solution'!$M$29-'Rachford-Rice-Solution'!$L$29)/999</f>
        <v>0.21283285470010374</v>
      </c>
      <c r="C172" cm="1">
        <f t="array" ref="C172">RR_Eq('Rachford-Rice-Solution'!$B$29,'Rachford-Rice-Solution'!$C$29,'Rachford-Rice-Solution'!$D$29,'Rachford-Rice-Solution'!$E$29,B172)</f>
        <v>-0.62858117575726813</v>
      </c>
    </row>
    <row r="173" spans="1:3" x14ac:dyDescent="0.35">
      <c r="A173">
        <v>171</v>
      </c>
      <c r="B173">
        <f>B172+('Rachford-Rice-Solution'!$M$29-'Rachford-Rice-Solution'!$L$29)/999</f>
        <v>0.21410035985110099</v>
      </c>
      <c r="C173" cm="1">
        <f t="array" ref="C173">RR_Eq('Rachford-Rice-Solution'!$B$29,'Rachford-Rice-Solution'!$C$29,'Rachford-Rice-Solution'!$D$29,'Rachford-Rice-Solution'!$E$29,B173)</f>
        <v>-0.63123559889560954</v>
      </c>
    </row>
    <row r="174" spans="1:3" x14ac:dyDescent="0.35">
      <c r="A174">
        <v>172</v>
      </c>
      <c r="B174">
        <f>B173+('Rachford-Rice-Solution'!$M$29-'Rachford-Rice-Solution'!$L$29)/999</f>
        <v>0.21536786500209823</v>
      </c>
      <c r="C174" cm="1">
        <f t="array" ref="C174">RR_Eq('Rachford-Rice-Solution'!$B$29,'Rachford-Rice-Solution'!$C$29,'Rachford-Rice-Solution'!$D$29,'Rachford-Rice-Solution'!$E$29,B174)</f>
        <v>-0.63387422932200854</v>
      </c>
    </row>
    <row r="175" spans="1:3" x14ac:dyDescent="0.35">
      <c r="A175">
        <v>173</v>
      </c>
      <c r="B175">
        <f>B174+('Rachford-Rice-Solution'!$M$29-'Rachford-Rice-Solution'!$L$29)/999</f>
        <v>0.21663537015309547</v>
      </c>
      <c r="C175" cm="1">
        <f t="array" ref="C175">RR_Eq('Rachford-Rice-Solution'!$B$29,'Rachford-Rice-Solution'!$C$29,'Rachford-Rice-Solution'!$D$29,'Rachford-Rice-Solution'!$E$29,B175)</f>
        <v>-0.63649739750098999</v>
      </c>
    </row>
    <row r="176" spans="1:3" x14ac:dyDescent="0.35">
      <c r="A176">
        <v>174</v>
      </c>
      <c r="B176">
        <f>B175+('Rachford-Rice-Solution'!$M$29-'Rachford-Rice-Solution'!$L$29)/999</f>
        <v>0.21790287530409272</v>
      </c>
      <c r="C176" cm="1">
        <f t="array" ref="C176">RR_Eq('Rachford-Rice-Solution'!$B$29,'Rachford-Rice-Solution'!$C$29,'Rachford-Rice-Solution'!$D$29,'Rachford-Rice-Solution'!$E$29,B176)</f>
        <v>-0.63910542652113445</v>
      </c>
    </row>
    <row r="177" spans="1:3" x14ac:dyDescent="0.35">
      <c r="A177">
        <v>175</v>
      </c>
      <c r="B177">
        <f>B176+('Rachford-Rice-Solution'!$M$29-'Rachford-Rice-Solution'!$L$29)/999</f>
        <v>0.21917038045508996</v>
      </c>
      <c r="C177" cm="1">
        <f t="array" ref="C177">RR_Eq('Rachford-Rice-Solution'!$B$29,'Rachford-Rice-Solution'!$C$29,'Rachford-Rice-Solution'!$D$29,'Rachford-Rice-Solution'!$E$29,B177)</f>
        <v>-0.64169863230862667</v>
      </c>
    </row>
    <row r="178" spans="1:3" x14ac:dyDescent="0.35">
      <c r="A178">
        <v>176</v>
      </c>
      <c r="B178">
        <f>B177+('Rachford-Rice-Solution'!$M$29-'Rachford-Rice-Solution'!$L$29)/999</f>
        <v>0.22043788560608721</v>
      </c>
      <c r="C178" cm="1">
        <f t="array" ref="C178">RR_Eq('Rachford-Rice-Solution'!$B$29,'Rachford-Rice-Solution'!$C$29,'Rachford-Rice-Solution'!$D$29,'Rachford-Rice-Solution'!$E$29,B178)</f>
        <v>-0.64427732383349245</v>
      </c>
    </row>
    <row r="179" spans="1:3" x14ac:dyDescent="0.35">
      <c r="A179">
        <v>177</v>
      </c>
      <c r="B179">
        <f>B178+('Rachford-Rice-Solution'!$M$29-'Rachford-Rice-Solution'!$L$29)/999</f>
        <v>0.22170539075708445</v>
      </c>
      <c r="C179" cm="1">
        <f t="array" ref="C179">RR_Eq('Rachford-Rice-Solution'!$B$29,'Rachford-Rice-Solution'!$C$29,'Rachford-Rice-Solution'!$D$29,'Rachford-Rice-Solution'!$E$29,B179)</f>
        <v>-0.64684180330881957</v>
      </c>
    </row>
    <row r="180" spans="1:3" x14ac:dyDescent="0.35">
      <c r="A180">
        <v>178</v>
      </c>
      <c r="B180">
        <f>B179+('Rachford-Rice-Solution'!$M$29-'Rachford-Rice-Solution'!$L$29)/999</f>
        <v>0.2229728959080817</v>
      </c>
      <c r="C180" cm="1">
        <f t="array" ref="C180">RR_Eq('Rachford-Rice-Solution'!$B$29,'Rachford-Rice-Solution'!$C$29,'Rachford-Rice-Solution'!$D$29,'Rachford-Rice-Solution'!$E$29,B180)</f>
        <v>-0.64939236638323339</v>
      </c>
    </row>
    <row r="181" spans="1:3" x14ac:dyDescent="0.35">
      <c r="A181">
        <v>179</v>
      </c>
      <c r="B181">
        <f>B180+('Rachford-Rice-Solution'!$M$29-'Rachford-Rice-Solution'!$L$29)/999</f>
        <v>0.22424040105907894</v>
      </c>
      <c r="C181" cm="1">
        <f t="array" ref="C181">RR_Eq('Rachford-Rice-Solution'!$B$29,'Rachford-Rice-Solution'!$C$29,'Rachford-Rice-Solution'!$D$29,'Rachford-Rice-Solution'!$E$29,B181)</f>
        <v>-0.6519293023268995</v>
      </c>
    </row>
    <row r="182" spans="1:3" x14ac:dyDescent="0.35">
      <c r="A182">
        <v>180</v>
      </c>
      <c r="B182">
        <f>B181+('Rachford-Rice-Solution'!$M$29-'Rachford-Rice-Solution'!$L$29)/999</f>
        <v>0.22550790621007619</v>
      </c>
      <c r="C182" cm="1">
        <f t="array" ref="C182">RR_Eq('Rachford-Rice-Solution'!$B$29,'Rachford-Rice-Solution'!$C$29,'Rachford-Rice-Solution'!$D$29,'Rachford-Rice-Solution'!$E$29,B182)</f>
        <v>-0.65445289421130082</v>
      </c>
    </row>
    <row r="183" spans="1:3" x14ac:dyDescent="0.35">
      <c r="A183">
        <v>181</v>
      </c>
      <c r="B183">
        <f>B182+('Rachford-Rice-Solution'!$M$29-'Rachford-Rice-Solution'!$L$29)/999</f>
        <v>0.22677541136107343</v>
      </c>
      <c r="C183" cm="1">
        <f t="array" ref="C183">RR_Eq('Rachford-Rice-Solution'!$B$29,'Rachford-Rice-Solution'!$C$29,'Rachford-Rice-Solution'!$D$29,'Rachford-Rice-Solution'!$E$29,B183)</f>
        <v>-0.65696341908303479</v>
      </c>
    </row>
    <row r="184" spans="1:3" x14ac:dyDescent="0.35">
      <c r="A184">
        <v>182</v>
      </c>
      <c r="B184">
        <f>B183+('Rachford-Rice-Solution'!$M$29-'Rachford-Rice-Solution'!$L$29)/999</f>
        <v>0.22804291651207068</v>
      </c>
      <c r="C184" cm="1">
        <f t="array" ref="C184">RR_Eq('Rachford-Rice-Solution'!$B$29,'Rachford-Rice-Solution'!$C$29,'Rachford-Rice-Solution'!$D$29,'Rachford-Rice-Solution'!$E$29,B184)</f>
        <v>-0.65946114813186218</v>
      </c>
    </row>
    <row r="185" spans="1:3" x14ac:dyDescent="0.35">
      <c r="A185">
        <v>183</v>
      </c>
      <c r="B185">
        <f>B184+('Rachford-Rice-Solution'!$M$29-'Rachford-Rice-Solution'!$L$29)/999</f>
        <v>0.22931042166306792</v>
      </c>
      <c r="C185" cm="1">
        <f t="array" ref="C185">RR_Eq('Rachford-Rice-Solution'!$B$29,'Rachford-Rice-Solution'!$C$29,'Rachford-Rice-Solution'!$D$29,'Rachford-Rice-Solution'!$E$29,B185)</f>
        <v>-0.66194634685322562</v>
      </c>
    </row>
    <row r="186" spans="1:3" x14ac:dyDescent="0.35">
      <c r="A186">
        <v>184</v>
      </c>
      <c r="B186">
        <f>B185+('Rachford-Rice-Solution'!$M$29-'Rachford-Rice-Solution'!$L$29)/999</f>
        <v>0.23057792681406516</v>
      </c>
      <c r="C186" cm="1">
        <f t="array" ref="C186">RR_Eq('Rachford-Rice-Solution'!$B$29,'Rachford-Rice-Solution'!$C$29,'Rachford-Rice-Solution'!$D$29,'Rachford-Rice-Solution'!$E$29,B186)</f>
        <v>-0.66441927520545241</v>
      </c>
    </row>
    <row r="187" spans="1:3" x14ac:dyDescent="0.35">
      <c r="A187">
        <v>185</v>
      </c>
      <c r="B187">
        <f>B186+('Rachford-Rice-Solution'!$M$29-'Rachford-Rice-Solution'!$L$29)/999</f>
        <v>0.23184543196506241</v>
      </c>
      <c r="C187" cm="1">
        <f t="array" ref="C187">RR_Eq('Rachford-Rice-Solution'!$B$29,'Rachford-Rice-Solution'!$C$29,'Rachford-Rice-Solution'!$D$29,'Rachford-Rice-Solution'!$E$29,B187)</f>
        <v>-0.66688018776184355</v>
      </c>
    </row>
    <row r="188" spans="1:3" x14ac:dyDescent="0.35">
      <c r="A188">
        <v>186</v>
      </c>
      <c r="B188">
        <f>B187+('Rachford-Rice-Solution'!$M$29-'Rachford-Rice-Solution'!$L$29)/999</f>
        <v>0.23311293711605965</v>
      </c>
      <c r="C188" cm="1">
        <f t="array" ref="C188">RR_Eq('Rachford-Rice-Solution'!$B$29,'Rachford-Rice-Solution'!$C$29,'Rachford-Rice-Solution'!$D$29,'Rachford-Rice-Solution'!$E$29,B188)</f>
        <v>-0.66932933385784155</v>
      </c>
    </row>
    <row r="189" spans="1:3" x14ac:dyDescent="0.35">
      <c r="A189">
        <v>187</v>
      </c>
      <c r="B189">
        <f>B188+('Rachford-Rice-Solution'!$M$29-'Rachford-Rice-Solution'!$L$29)/999</f>
        <v>0.2343804422670569</v>
      </c>
      <c r="C189" cm="1">
        <f t="array" ref="C189">RR_Eq('Rachford-Rice-Solution'!$B$29,'Rachford-Rice-Solution'!$C$29,'Rachford-Rice-Solution'!$D$29,'Rachford-Rice-Solution'!$E$29,B189)</f>
        <v>-0.67176695773346173</v>
      </c>
    </row>
    <row r="190" spans="1:3" x14ac:dyDescent="0.35">
      <c r="A190">
        <v>188</v>
      </c>
      <c r="B190">
        <f>B189+('Rachford-Rice-Solution'!$M$29-'Rachford-Rice-Solution'!$L$29)/999</f>
        <v>0.23564794741805414</v>
      </c>
      <c r="C190" cm="1">
        <f t="array" ref="C190">RR_Eq('Rachford-Rice-Solution'!$B$29,'Rachford-Rice-Solution'!$C$29,'Rachford-Rice-Solution'!$D$29,'Rachford-Rice-Solution'!$E$29,B190)</f>
        <v>-0.6741932986711684</v>
      </c>
    </row>
    <row r="191" spans="1:3" x14ac:dyDescent="0.35">
      <c r="A191">
        <v>189</v>
      </c>
      <c r="B191">
        <f>B190+('Rachford-Rice-Solution'!$M$29-'Rachford-Rice-Solution'!$L$29)/999</f>
        <v>0.23691545256905139</v>
      </c>
      <c r="C191" cm="1">
        <f t="array" ref="C191">RR_Eq('Rachford-Rice-Solution'!$B$29,'Rachford-Rice-Solution'!$C$29,'Rachford-Rice-Solution'!$D$29,'Rachford-Rice-Solution'!$E$29,B191)</f>
        <v>-0.67660859112935945</v>
      </c>
    </row>
    <row r="192" spans="1:3" x14ac:dyDescent="0.35">
      <c r="A192">
        <v>190</v>
      </c>
      <c r="B192">
        <f>B191+('Rachford-Rice-Solution'!$M$29-'Rachford-Rice-Solution'!$L$29)/999</f>
        <v>0.23818295772004863</v>
      </c>
      <c r="C192" cm="1">
        <f t="array" ref="C192">RR_Eq('Rachford-Rice-Solution'!$B$29,'Rachford-Rice-Solution'!$C$29,'Rachford-Rice-Solution'!$D$29,'Rachford-Rice-Solution'!$E$29,B192)</f>
        <v>-0.67901306487162749</v>
      </c>
    </row>
    <row r="193" spans="1:3" x14ac:dyDescent="0.35">
      <c r="A193">
        <v>191</v>
      </c>
      <c r="B193">
        <f>B192+('Rachford-Rice-Solution'!$M$29-'Rachford-Rice-Solution'!$L$29)/999</f>
        <v>0.23945046287104588</v>
      </c>
      <c r="C193" cm="1">
        <f t="array" ref="C193">RR_Eq('Rachford-Rice-Solution'!$B$29,'Rachford-Rice-Solution'!$C$29,'Rachford-Rice-Solution'!$D$29,'Rachford-Rice-Solution'!$E$29,B193)</f>
        <v>-0.68140694509195054</v>
      </c>
    </row>
    <row r="194" spans="1:3" x14ac:dyDescent="0.35">
      <c r="A194">
        <v>192</v>
      </c>
      <c r="B194">
        <f>B193+('Rachford-Rice-Solution'!$M$29-'Rachford-Rice-Solution'!$L$29)/999</f>
        <v>0.24071796802204312</v>
      </c>
      <c r="C194" cm="1">
        <f t="array" ref="C194">RR_Eq('Rachford-Rice-Solution'!$B$29,'Rachford-Rice-Solution'!$C$29,'Rachford-Rice-Solution'!$D$29,'Rachford-Rice-Solution'!$E$29,B194)</f>
        <v>-0.68379045253596238</v>
      </c>
    </row>
    <row r="195" spans="1:3" x14ac:dyDescent="0.35">
      <c r="A195">
        <v>193</v>
      </c>
      <c r="B195">
        <f>B194+('Rachford-Rice-Solution'!$M$29-'Rachford-Rice-Solution'!$L$29)/999</f>
        <v>0.24198547317304037</v>
      </c>
      <c r="C195" cm="1">
        <f t="array" ref="C195">RR_Eq('Rachford-Rice-Solution'!$B$29,'Rachford-Rice-Solution'!$C$29,'Rachford-Rice-Solution'!$D$29,'Rachford-Rice-Solution'!$E$29,B195)</f>
        <v>-0.68616380361844442</v>
      </c>
    </row>
    <row r="196" spans="1:3" x14ac:dyDescent="0.35">
      <c r="A196">
        <v>194</v>
      </c>
      <c r="B196">
        <f>B195+('Rachford-Rice-Solution'!$M$29-'Rachford-Rice-Solution'!$L$29)/999</f>
        <v>0.24325297832403761</v>
      </c>
      <c r="C196" cm="1">
        <f t="array" ref="C196">RR_Eq('Rachford-Rice-Solution'!$B$29,'Rachford-Rice-Solution'!$C$29,'Rachford-Rice-Solution'!$D$29,'Rachford-Rice-Solution'!$E$29,B196)</f>
        <v>-0.68852721053717925</v>
      </c>
    </row>
    <row r="197" spans="1:3" x14ac:dyDescent="0.35">
      <c r="A197">
        <v>195</v>
      </c>
      <c r="B197">
        <f>B196+('Rachford-Rice-Solution'!$M$29-'Rachford-Rice-Solution'!$L$29)/999</f>
        <v>0.24452048347503486</v>
      </c>
      <c r="C197" cm="1">
        <f t="array" ref="C197">RR_Eq('Rachford-Rice-Solution'!$B$29,'Rachford-Rice-Solution'!$C$29,'Rachford-Rice-Solution'!$D$29,'Rachford-Rice-Solution'!$E$29,B197)</f>
        <v>-0.69088088138329262</v>
      </c>
    </row>
    <row r="198" spans="1:3" x14ac:dyDescent="0.35">
      <c r="A198">
        <v>196</v>
      </c>
      <c r="B198">
        <f>B197+('Rachford-Rice-Solution'!$M$29-'Rachford-Rice-Solution'!$L$29)/999</f>
        <v>0.2457879886260321</v>
      </c>
      <c r="C198" cm="1">
        <f t="array" ref="C198">RR_Eq('Rachford-Rice-Solution'!$B$29,'Rachford-Rice-Solution'!$C$29,'Rachford-Rice-Solution'!$D$29,'Rachford-Rice-Solution'!$E$29,B198)</f>
        <v>-0.69322502024821442</v>
      </c>
    </row>
    <row r="199" spans="1:3" x14ac:dyDescent="0.35">
      <c r="A199">
        <v>197</v>
      </c>
      <c r="B199">
        <f>B198+('Rachford-Rice-Solution'!$M$29-'Rachford-Rice-Solution'!$L$29)/999</f>
        <v>0.24705549377702934</v>
      </c>
      <c r="C199" cm="1">
        <f t="array" ref="C199">RR_Eq('Rachford-Rice-Solution'!$B$29,'Rachford-Rice-Solution'!$C$29,'Rachford-Rice-Solution'!$D$29,'Rachford-Rice-Solution'!$E$29,B199)</f>
        <v>-0.69555982732737787</v>
      </c>
    </row>
    <row r="200" spans="1:3" x14ac:dyDescent="0.35">
      <c r="A200">
        <v>198</v>
      </c>
      <c r="B200">
        <f>B199+('Rachford-Rice-Solution'!$M$29-'Rachford-Rice-Solution'!$L$29)/999</f>
        <v>0.24832299892802659</v>
      </c>
      <c r="C200" cm="1">
        <f t="array" ref="C200">RR_Eq('Rachford-Rice-Solution'!$B$29,'Rachford-Rice-Solution'!$C$29,'Rachford-Rice-Solution'!$D$29,'Rachford-Rice-Solution'!$E$29,B200)</f>
        <v>-0.69788549902077057</v>
      </c>
    </row>
    <row r="201" spans="1:3" x14ac:dyDescent="0.35">
      <c r="A201">
        <v>199</v>
      </c>
      <c r="B201">
        <f>B200+('Rachford-Rice-Solution'!$M$29-'Rachford-Rice-Solution'!$L$29)/999</f>
        <v>0.24959050407902383</v>
      </c>
      <c r="C201" cm="1">
        <f t="array" ref="C201">RR_Eq('Rachford-Rice-Solution'!$B$29,'Rachford-Rice-Solution'!$C$29,'Rachford-Rice-Solution'!$D$29,'Rachford-Rice-Solution'!$E$29,B201)</f>
        <v>-0.70020222803045362</v>
      </c>
    </row>
    <row r="202" spans="1:3" x14ac:dyDescent="0.35">
      <c r="A202">
        <v>200</v>
      </c>
      <c r="B202">
        <f>B201+('Rachford-Rice-Solution'!$M$29-'Rachford-Rice-Solution'!$L$29)/999</f>
        <v>0.25085800923002111</v>
      </c>
      <c r="C202" cm="1">
        <f t="array" ref="C202">RR_Eq('Rachford-Rice-Solution'!$B$29,'Rachford-Rice-Solution'!$C$29,'Rachford-Rice-Solution'!$D$29,'Rachford-Rice-Solution'!$E$29,B202)</f>
        <v>-0.70251020345515192</v>
      </c>
    </row>
    <row r="203" spans="1:3" x14ac:dyDescent="0.35">
      <c r="A203">
        <v>201</v>
      </c>
      <c r="B203">
        <f>B202+('Rachford-Rice-Solution'!$M$29-'Rachford-Rice-Solution'!$L$29)/999</f>
        <v>0.25212551438101838</v>
      </c>
      <c r="C203" cm="1">
        <f t="array" ref="C203">RR_Eq('Rachford-Rice-Solution'!$B$29,'Rachford-Rice-Solution'!$C$29,'Rachford-Rice-Solution'!$D$29,'Rachford-Rice-Solution'!$E$29,B203)</f>
        <v>-0.70480961088201788</v>
      </c>
    </row>
    <row r="204" spans="1:3" x14ac:dyDescent="0.35">
      <c r="A204">
        <v>202</v>
      </c>
      <c r="B204">
        <f>B203+('Rachford-Rice-Solution'!$M$29-'Rachford-Rice-Solution'!$L$29)/999</f>
        <v>0.25339301953201565</v>
      </c>
      <c r="C204" cm="1">
        <f t="array" ref="C204">RR_Eq('Rachford-Rice-Solution'!$B$29,'Rachford-Rice-Solution'!$C$29,'Rachford-Rice-Solution'!$D$29,'Rachford-Rice-Solution'!$E$29,B204)</f>
        <v>-0.70710063247567123</v>
      </c>
    </row>
    <row r="205" spans="1:3" x14ac:dyDescent="0.35">
      <c r="A205">
        <v>203</v>
      </c>
      <c r="B205">
        <f>B204+('Rachford-Rice-Solution'!$M$29-'Rachford-Rice-Solution'!$L$29)/999</f>
        <v>0.25466052468301292</v>
      </c>
      <c r="C205" cm="1">
        <f t="array" ref="C205">RR_Eq('Rachford-Rice-Solution'!$B$29,'Rachford-Rice-Solution'!$C$29,'Rachford-Rice-Solution'!$D$29,'Rachford-Rice-Solution'!$E$29,B205)</f>
        <v>-0.70938344706460499</v>
      </c>
    </row>
    <row r="206" spans="1:3" x14ac:dyDescent="0.35">
      <c r="A206">
        <v>204</v>
      </c>
      <c r="B206">
        <f>B205+('Rachford-Rice-Solution'!$M$29-'Rachford-Rice-Solution'!$L$29)/999</f>
        <v>0.2559280298340102</v>
      </c>
      <c r="C206" cm="1">
        <f t="array" ref="C206">RR_Eq('Rachford-Rice-Solution'!$B$29,'Rachford-Rice-Solution'!$C$29,'Rachford-Rice-Solution'!$D$29,'Rachford-Rice-Solution'!$E$29,B206)</f>
        <v>-0.71165823022504937</v>
      </c>
    </row>
    <row r="207" spans="1:3" x14ac:dyDescent="0.35">
      <c r="A207">
        <v>205</v>
      </c>
      <c r="B207">
        <f>B206+('Rachford-Rice-Solution'!$M$29-'Rachford-Rice-Solution'!$L$29)/999</f>
        <v>0.25719553498500747</v>
      </c>
      <c r="C207" cm="1">
        <f t="array" ref="C207">RR_Eq('Rachford-Rice-Solution'!$B$29,'Rachford-Rice-Solution'!$C$29,'Rachford-Rice-Solution'!$D$29,'Rachford-Rice-Solution'!$E$29,B207)</f>
        <v>-0.7139251543623848</v>
      </c>
    </row>
    <row r="208" spans="1:3" x14ac:dyDescent="0.35">
      <c r="A208">
        <v>206</v>
      </c>
      <c r="B208">
        <f>B207+('Rachford-Rice-Solution'!$M$29-'Rachford-Rice-Solution'!$L$29)/999</f>
        <v>0.25846304013600474</v>
      </c>
      <c r="C208" cm="1">
        <f t="array" ref="C208">RR_Eq('Rachford-Rice-Solution'!$B$29,'Rachford-Rice-Solution'!$C$29,'Rachford-Rice-Solution'!$D$29,'Rachford-Rice-Solution'!$E$29,B208)</f>
        <v>-0.71618438879018165</v>
      </c>
    </row>
    <row r="209" spans="1:3" x14ac:dyDescent="0.35">
      <c r="A209">
        <v>207</v>
      </c>
      <c r="B209">
        <f>B208+('Rachford-Rice-Solution'!$M$29-'Rachford-Rice-Solution'!$L$29)/999</f>
        <v>0.25973054528700201</v>
      </c>
      <c r="C209" cm="1">
        <f t="array" ref="C209">RR_Eq('Rachford-Rice-Solution'!$B$29,'Rachford-Rice-Solution'!$C$29,'Rachford-Rice-Solution'!$D$29,'Rachford-Rice-Solution'!$E$29,B209)</f>
        <v>-0.71843609980695256</v>
      </c>
    </row>
    <row r="210" spans="1:3" x14ac:dyDescent="0.35">
      <c r="A210">
        <v>208</v>
      </c>
      <c r="B210">
        <f>B209+('Rachford-Rice-Solution'!$M$29-'Rachford-Rice-Solution'!$L$29)/999</f>
        <v>0.26099805043799928</v>
      </c>
      <c r="C210" cm="1">
        <f t="array" ref="C210">RR_Eq('Rachford-Rice-Solution'!$B$29,'Rachford-Rice-Solution'!$C$29,'Rachford-Rice-Solution'!$D$29,'Rachford-Rice-Solution'!$E$29,B210)</f>
        <v>-0.72068045077069254</v>
      </c>
    </row>
    <row r="211" spans="1:3" x14ac:dyDescent="0.35">
      <c r="A211">
        <v>209</v>
      </c>
      <c r="B211">
        <f>B210+('Rachford-Rice-Solution'!$M$29-'Rachford-Rice-Solution'!$L$29)/999</f>
        <v>0.26226555558899656</v>
      </c>
      <c r="C211" cm="1">
        <f t="array" ref="C211">RR_Eq('Rachford-Rice-Solution'!$B$29,'Rachford-Rice-Solution'!$C$29,'Rachford-Rice-Solution'!$D$29,'Rachford-Rice-Solution'!$E$29,B211)</f>
        <v>-0.72291760217128198</v>
      </c>
    </row>
    <row r="212" spans="1:3" x14ac:dyDescent="0.35">
      <c r="A212">
        <v>210</v>
      </c>
      <c r="B212">
        <f>B211+('Rachford-Rice-Solution'!$M$29-'Rachford-Rice-Solution'!$L$29)/999</f>
        <v>0.26353306073999383</v>
      </c>
      <c r="C212" cm="1">
        <f t="array" ref="C212">RR_Eq('Rachford-Rice-Solution'!$B$29,'Rachford-Rice-Solution'!$C$29,'Rachford-Rice-Solution'!$D$29,'Rachford-Rice-Solution'!$E$29,B212)</f>
        <v>-0.72514771170082348</v>
      </c>
    </row>
    <row r="213" spans="1:3" x14ac:dyDescent="0.35">
      <c r="A213">
        <v>211</v>
      </c>
      <c r="B213">
        <f>B212+('Rachford-Rice-Solution'!$M$29-'Rachford-Rice-Solution'!$L$29)/999</f>
        <v>0.2648005658909911</v>
      </c>
      <c r="C213" cm="1">
        <f t="array" ref="C213">RR_Eq('Rachford-Rice-Solution'!$B$29,'Rachford-Rice-Solution'!$C$29,'Rachford-Rice-Solution'!$D$29,'Rachford-Rice-Solution'!$E$29,B213)</f>
        <v>-0.7273709343219823</v>
      </c>
    </row>
    <row r="214" spans="1:3" x14ac:dyDescent="0.35">
      <c r="A214">
        <v>212</v>
      </c>
      <c r="B214">
        <f>B213+('Rachford-Rice-Solution'!$M$29-'Rachford-Rice-Solution'!$L$29)/999</f>
        <v>0.26606807104198837</v>
      </c>
      <c r="C214" cm="1">
        <f t="array" ref="C214">RR_Eq('Rachford-Rice-Solution'!$B$29,'Rachford-Rice-Solution'!$C$29,'Rachford-Rice-Solution'!$D$29,'Rachford-Rice-Solution'!$E$29,B214)</f>
        <v>-0.72958742233439711</v>
      </c>
    </row>
    <row r="215" spans="1:3" x14ac:dyDescent="0.35">
      <c r="A215">
        <v>213</v>
      </c>
      <c r="B215">
        <f>B214+('Rachford-Rice-Solution'!$M$29-'Rachford-Rice-Solution'!$L$29)/999</f>
        <v>0.26733557619298565</v>
      </c>
      <c r="C215" cm="1">
        <f t="array" ref="C215">RR_Eq('Rachford-Rice-Solution'!$B$29,'Rachford-Rice-Solution'!$C$29,'Rachford-Rice-Solution'!$D$29,'Rachford-Rice-Solution'!$E$29,B215)</f>
        <v>-0.7317973254392236</v>
      </c>
    </row>
    <row r="216" spans="1:3" x14ac:dyDescent="0.35">
      <c r="A216">
        <v>214</v>
      </c>
      <c r="B216">
        <f>B215+('Rachford-Rice-Solution'!$M$29-'Rachford-Rice-Solution'!$L$29)/999</f>
        <v>0.26860308134398292</v>
      </c>
      <c r="C216" cm="1">
        <f t="array" ref="C216">RR_Eq('Rachford-Rice-Solution'!$B$29,'Rachford-Rice-Solution'!$C$29,'Rachford-Rice-Solution'!$D$29,'Rachford-Rice-Solution'!$E$29,B216)</f>
        <v>-0.73400079080187364</v>
      </c>
    </row>
    <row r="217" spans="1:3" x14ac:dyDescent="0.35">
      <c r="A217">
        <v>215</v>
      </c>
      <c r="B217">
        <f>B216+('Rachford-Rice-Solution'!$M$29-'Rachford-Rice-Solution'!$L$29)/999</f>
        <v>0.26987058649498019</v>
      </c>
      <c r="C217" cm="1">
        <f t="array" ref="C217">RR_Eq('Rachford-Rice-Solution'!$B$29,'Rachford-Rice-Solution'!$C$29,'Rachford-Rice-Solution'!$D$29,'Rachford-Rice-Solution'!$E$29,B217)</f>
        <v>-0.736197963113009</v>
      </c>
    </row>
    <row r="218" spans="1:3" x14ac:dyDescent="0.35">
      <c r="A218">
        <v>216</v>
      </c>
      <c r="B218">
        <f>B217+('Rachford-Rice-Solution'!$M$29-'Rachford-Rice-Solution'!$L$29)/999</f>
        <v>0.27113809164597746</v>
      </c>
      <c r="C218" cm="1">
        <f t="array" ref="C218">RR_Eq('Rachford-Rice-Solution'!$B$29,'Rachford-Rice-Solution'!$C$29,'Rachford-Rice-Solution'!$D$29,'Rachford-Rice-Solution'!$E$29,B218)</f>
        <v>-0.73838898464784442</v>
      </c>
    </row>
    <row r="219" spans="1:3" x14ac:dyDescent="0.35">
      <c r="A219">
        <v>217</v>
      </c>
      <c r="B219">
        <f>B218+('Rachford-Rice-Solution'!$M$29-'Rachford-Rice-Solution'!$L$29)/999</f>
        <v>0.27240559679697474</v>
      </c>
      <c r="C219" cm="1">
        <f t="array" ref="C219">RR_Eq('Rachford-Rice-Solution'!$B$29,'Rachford-Rice-Solution'!$C$29,'Rachford-Rice-Solution'!$D$29,'Rachford-Rice-Solution'!$E$29,B219)</f>
        <v>-0.7405739953238194</v>
      </c>
    </row>
    <row r="220" spans="1:3" x14ac:dyDescent="0.35">
      <c r="A220">
        <v>218</v>
      </c>
      <c r="B220">
        <f>B219+('Rachford-Rice-Solution'!$M$29-'Rachford-Rice-Solution'!$L$29)/999</f>
        <v>0.27367310194797201</v>
      </c>
      <c r="C220" cm="1">
        <f t="array" ref="C220">RR_Eq('Rachford-Rice-Solution'!$B$29,'Rachford-Rice-Solution'!$C$29,'Rachford-Rice-Solution'!$D$29,'Rachford-Rice-Solution'!$E$29,B220)</f>
        <v>-0.74275313275668686</v>
      </c>
    </row>
    <row r="221" spans="1:3" x14ac:dyDescent="0.35">
      <c r="A221">
        <v>219</v>
      </c>
      <c r="B221">
        <f>B220+('Rachford-Rice-Solution'!$M$29-'Rachford-Rice-Solution'!$L$29)/999</f>
        <v>0.27494060709896928</v>
      </c>
      <c r="C221" cm="1">
        <f t="array" ref="C221">RR_Eq('Rachford-Rice-Solution'!$B$29,'Rachford-Rice-Solution'!$C$29,'Rachford-Rice-Solution'!$D$29,'Rachford-Rice-Solution'!$E$29,B221)</f>
        <v>-0.74492653231507178</v>
      </c>
    </row>
    <row r="222" spans="1:3" x14ac:dyDescent="0.35">
      <c r="A222">
        <v>220</v>
      </c>
      <c r="B222">
        <f>B221+('Rachford-Rice-Solution'!$M$29-'Rachford-Rice-Solution'!$L$29)/999</f>
        <v>0.27620811224996655</v>
      </c>
      <c r="C222" cm="1">
        <f t="array" ref="C222">RR_Eq('Rachford-Rice-Solution'!$B$29,'Rachford-Rice-Solution'!$C$29,'Rachford-Rice-Solution'!$D$29,'Rachford-Rice-Solution'!$E$29,B222)</f>
        <v>-0.74709432717354984</v>
      </c>
    </row>
    <row r="223" spans="1:3" x14ac:dyDescent="0.35">
      <c r="A223">
        <v>221</v>
      </c>
      <c r="B223">
        <f>B222+('Rachford-Rice-Solution'!$M$29-'Rachford-Rice-Solution'!$L$29)/999</f>
        <v>0.27747561740096383</v>
      </c>
      <c r="C223" cm="1">
        <f t="array" ref="C223">RR_Eq('Rachford-Rice-Solution'!$B$29,'Rachford-Rice-Solution'!$C$29,'Rachford-Rice-Solution'!$D$29,'Rachford-Rice-Solution'!$E$29,B223)</f>
        <v>-0.74925664836429018</v>
      </c>
    </row>
    <row r="224" spans="1:3" x14ac:dyDescent="0.35">
      <c r="A224">
        <v>222</v>
      </c>
      <c r="B224">
        <f>B223+('Rachford-Rice-Solution'!$M$29-'Rachford-Rice-Solution'!$L$29)/999</f>
        <v>0.2787431225519611</v>
      </c>
      <c r="C224" cm="1">
        <f t="array" ref="C224">RR_Eq('Rachford-Rice-Solution'!$B$29,'Rachford-Rice-Solution'!$C$29,'Rachford-Rice-Solution'!$D$29,'Rachford-Rice-Solution'!$E$29,B224)</f>
        <v>-0.75141362482731178</v>
      </c>
    </row>
    <row r="225" spans="1:3" x14ac:dyDescent="0.35">
      <c r="A225">
        <v>223</v>
      </c>
      <c r="B225">
        <f>B224+('Rachford-Rice-Solution'!$M$29-'Rachford-Rice-Solution'!$L$29)/999</f>
        <v>0.28001062770295837</v>
      </c>
      <c r="C225" cm="1">
        <f t="array" ref="C225">RR_Eq('Rachford-Rice-Solution'!$B$29,'Rachford-Rice-Solution'!$C$29,'Rachford-Rice-Solution'!$D$29,'Rachford-Rice-Solution'!$E$29,B225)</f>
        <v>-0.7535653834593935</v>
      </c>
    </row>
    <row r="226" spans="1:3" x14ac:dyDescent="0.35">
      <c r="A226">
        <v>224</v>
      </c>
      <c r="B226">
        <f>B225+('Rachford-Rice-Solution'!$M$29-'Rachford-Rice-Solution'!$L$29)/999</f>
        <v>0.28127813285395564</v>
      </c>
      <c r="C226" cm="1">
        <f t="array" ref="C226">RR_Eq('Rachford-Rice-Solution'!$B$29,'Rachford-Rice-Solution'!$C$29,'Rachford-Rice-Solution'!$D$29,'Rachford-Rice-Solution'!$E$29,B226)</f>
        <v>-0.75571204916168289</v>
      </c>
    </row>
    <row r="227" spans="1:3" x14ac:dyDescent="0.35">
      <c r="A227">
        <v>225</v>
      </c>
      <c r="B227">
        <f>B226+('Rachford-Rice-Solution'!$M$29-'Rachford-Rice-Solution'!$L$29)/999</f>
        <v>0.28254563800495291</v>
      </c>
      <c r="C227" cm="1">
        <f t="array" ref="C227">RR_Eq('Rachford-Rice-Solution'!$B$29,'Rachford-Rice-Solution'!$C$29,'Rachford-Rice-Solution'!$D$29,'Rachford-Rice-Solution'!$E$29,B227)</f>
        <v>-0.75785374488604373</v>
      </c>
    </row>
    <row r="228" spans="1:3" x14ac:dyDescent="0.35">
      <c r="A228">
        <v>226</v>
      </c>
      <c r="B228">
        <f>B227+('Rachford-Rice-Solution'!$M$29-'Rachford-Rice-Solution'!$L$29)/999</f>
        <v>0.28381314315595019</v>
      </c>
      <c r="C228" cm="1">
        <f t="array" ref="C228">RR_Eq('Rachford-Rice-Solution'!$B$29,'Rachford-Rice-Solution'!$C$29,'Rachford-Rice-Solution'!$D$29,'Rachford-Rice-Solution'!$E$29,B228)</f>
        <v>-0.75999059168018057</v>
      </c>
    </row>
    <row r="229" spans="1:3" x14ac:dyDescent="0.35">
      <c r="A229">
        <v>227</v>
      </c>
      <c r="B229">
        <f>B228+('Rachford-Rice-Solution'!$M$29-'Rachford-Rice-Solution'!$L$29)/999</f>
        <v>0.28508064830694746</v>
      </c>
      <c r="C229" cm="1">
        <f t="array" ref="C229">RR_Eq('Rachford-Rice-Solution'!$B$29,'Rachford-Rice-Solution'!$C$29,'Rachford-Rice-Solution'!$D$29,'Rachford-Rice-Solution'!$E$29,B229)</f>
        <v>-0.76212270873158106</v>
      </c>
    </row>
    <row r="230" spans="1:3" x14ac:dyDescent="0.35">
      <c r="A230">
        <v>228</v>
      </c>
      <c r="B230">
        <f>B229+('Rachford-Rice-Solution'!$M$29-'Rachford-Rice-Solution'!$L$29)/999</f>
        <v>0.28634815345794473</v>
      </c>
      <c r="C230" cm="1">
        <f t="array" ref="C230">RR_Eq('Rachford-Rice-Solution'!$B$29,'Rachford-Rice-Solution'!$C$29,'Rachford-Rice-Solution'!$D$29,'Rachford-Rice-Solution'!$E$29,B230)</f>
        <v>-0.76425021341030797</v>
      </c>
    </row>
    <row r="231" spans="1:3" x14ac:dyDescent="0.35">
      <c r="A231">
        <v>229</v>
      </c>
      <c r="B231">
        <f>B230+('Rachford-Rice-Solution'!$M$29-'Rachford-Rice-Solution'!$L$29)/999</f>
        <v>0.287615658608942</v>
      </c>
      <c r="C231" cm="1">
        <f t="array" ref="C231">RR_Eq('Rachford-Rice-Solution'!$B$29,'Rachford-Rice-Solution'!$C$29,'Rachford-Rice-Solution'!$D$29,'Rachford-Rice-Solution'!$E$29,B231)</f>
        <v>-0.76637322131068275</v>
      </c>
    </row>
    <row r="232" spans="1:3" x14ac:dyDescent="0.35">
      <c r="A232">
        <v>230</v>
      </c>
      <c r="B232">
        <f>B231+('Rachford-Rice-Solution'!$M$29-'Rachford-Rice-Solution'!$L$29)/999</f>
        <v>0.28888316375993928</v>
      </c>
      <c r="C232" cm="1">
        <f t="array" ref="C232">RR_Eq('Rachford-Rice-Solution'!$B$29,'Rachford-Rice-Solution'!$C$29,'Rachford-Rice-Solution'!$D$29,'Rachford-Rice-Solution'!$E$29,B232)</f>
        <v>-0.76849184629188783</v>
      </c>
    </row>
    <row r="233" spans="1:3" x14ac:dyDescent="0.35">
      <c r="A233">
        <v>231</v>
      </c>
      <c r="B233">
        <f>B232+('Rachford-Rice-Solution'!$M$29-'Rachford-Rice-Solution'!$L$29)/999</f>
        <v>0.29015066891093655</v>
      </c>
      <c r="C233" cm="1">
        <f t="array" ref="C233">RR_Eq('Rachford-Rice-Solution'!$B$29,'Rachford-Rice-Solution'!$C$29,'Rachford-Rice-Solution'!$D$29,'Rachford-Rice-Solution'!$E$29,B233)</f>
        <v>-0.77060620051752626</v>
      </c>
    </row>
    <row r="234" spans="1:3" x14ac:dyDescent="0.35">
      <c r="A234">
        <v>232</v>
      </c>
      <c r="B234">
        <f>B233+('Rachford-Rice-Solution'!$M$29-'Rachford-Rice-Solution'!$L$29)/999</f>
        <v>0.29141817406193382</v>
      </c>
      <c r="C234" cm="1">
        <f t="array" ref="C234">RR_Eq('Rachford-Rice-Solution'!$B$29,'Rachford-Rice-Solution'!$C$29,'Rachford-Rice-Solution'!$D$29,'Rachford-Rice-Solution'!$E$29,B234)</f>
        <v>-0.77271639449416685</v>
      </c>
    </row>
    <row r="235" spans="1:3" x14ac:dyDescent="0.35">
      <c r="A235">
        <v>233</v>
      </c>
      <c r="B235">
        <f>B234+('Rachford-Rice-Solution'!$M$29-'Rachford-Rice-Solution'!$L$29)/999</f>
        <v>0.29268567921293109</v>
      </c>
      <c r="C235" cm="1">
        <f t="array" ref="C235">RR_Eq('Rachford-Rice-Solution'!$B$29,'Rachford-Rice-Solution'!$C$29,'Rachford-Rice-Solution'!$D$29,'Rachford-Rice-Solution'!$E$29,B235)</f>
        <v>-0.77482253710890736</v>
      </c>
    </row>
    <row r="236" spans="1:3" x14ac:dyDescent="0.35">
      <c r="A236">
        <v>234</v>
      </c>
      <c r="B236">
        <f>B235+('Rachford-Rice-Solution'!$M$29-'Rachford-Rice-Solution'!$L$29)/999</f>
        <v>0.29395318436392837</v>
      </c>
      <c r="C236" cm="1">
        <f t="array" ref="C236">RR_Eq('Rachford-Rice-Solution'!$B$29,'Rachford-Rice-Solution'!$C$29,'Rachford-Rice-Solution'!$D$29,'Rachford-Rice-Solution'!$E$29,B236)</f>
        <v>-0.77692473566598519</v>
      </c>
    </row>
    <row r="237" spans="1:3" x14ac:dyDescent="0.35">
      <c r="A237">
        <v>235</v>
      </c>
      <c r="B237">
        <f>B236+('Rachford-Rice-Solution'!$M$29-'Rachford-Rice-Solution'!$L$29)/999</f>
        <v>0.29522068951492564</v>
      </c>
      <c r="C237" cm="1">
        <f t="array" ref="C237">RR_Eq('Rachford-Rice-Solution'!$B$29,'Rachford-Rice-Solution'!$C$29,'Rachford-Rice-Solution'!$D$29,'Rachford-Rice-Solution'!$E$29,B237)</f>
        <v>-0.77902309592246244</v>
      </c>
    </row>
    <row r="238" spans="1:3" x14ac:dyDescent="0.35">
      <c r="A238">
        <v>236</v>
      </c>
      <c r="B238">
        <f>B237+('Rachford-Rice-Solution'!$M$29-'Rachford-Rice-Solution'!$L$29)/999</f>
        <v>0.29648819466592291</v>
      </c>
      <c r="C238" cm="1">
        <f t="array" ref="C238">RR_Eq('Rachford-Rice-Solution'!$B$29,'Rachford-Rice-Solution'!$C$29,'Rachford-Rice-Solution'!$D$29,'Rachford-Rice-Solution'!$E$29,B238)</f>
        <v>-0.78111772212301589</v>
      </c>
    </row>
    <row r="239" spans="1:3" x14ac:dyDescent="0.35">
      <c r="A239">
        <v>237</v>
      </c>
      <c r="B239">
        <f>B238+('Rachford-Rice-Solution'!$M$29-'Rachford-Rice-Solution'!$L$29)/999</f>
        <v>0.29775569981692018</v>
      </c>
      <c r="C239" cm="1">
        <f t="array" ref="C239">RR_Eq('Rachford-Rice-Solution'!$B$29,'Rachford-Rice-Solution'!$C$29,'Rachford-Rice-Solution'!$D$29,'Rachford-Rice-Solution'!$E$29,B239)</f>
        <v>-0.78320871703385697</v>
      </c>
    </row>
    <row r="240" spans="1:3" x14ac:dyDescent="0.35">
      <c r="A240">
        <v>238</v>
      </c>
      <c r="B240">
        <f>B239+('Rachford-Rice-Solution'!$M$29-'Rachford-Rice-Solution'!$L$29)/999</f>
        <v>0.29902320496791746</v>
      </c>
      <c r="C240" cm="1">
        <f t="array" ref="C240">RR_Eq('Rachford-Rice-Solution'!$B$29,'Rachford-Rice-Solution'!$C$29,'Rachford-Rice-Solution'!$D$29,'Rachford-Rice-Solution'!$E$29,B240)</f>
        <v>-0.78529618197580664</v>
      </c>
    </row>
    <row r="241" spans="1:3" x14ac:dyDescent="0.35">
      <c r="A241">
        <v>239</v>
      </c>
      <c r="B241">
        <f>B240+('Rachford-Rice-Solution'!$M$29-'Rachford-Rice-Solution'!$L$29)/999</f>
        <v>0.30029071011891473</v>
      </c>
      <c r="C241" cm="1">
        <f t="array" ref="C241">RR_Eq('Rachford-Rice-Solution'!$B$29,'Rachford-Rice-Solution'!$C$29,'Rachford-Rice-Solution'!$D$29,'Rachford-Rice-Solution'!$E$29,B241)</f>
        <v>-0.78738021685655268</v>
      </c>
    </row>
    <row r="242" spans="1:3" x14ac:dyDescent="0.35">
      <c r="A242">
        <v>240</v>
      </c>
      <c r="B242">
        <f>B241+('Rachford-Rice-Solution'!$M$29-'Rachford-Rice-Solution'!$L$29)/999</f>
        <v>0.301558215269912</v>
      </c>
      <c r="C242" cm="1">
        <f t="array" ref="C242">RR_Eq('Rachford-Rice-Solution'!$B$29,'Rachford-Rice-Solution'!$C$29,'Rachford-Rice-Solution'!$D$29,'Rachford-Rice-Solution'!$E$29,B242)</f>
        <v>-0.78946092020211067</v>
      </c>
    </row>
    <row r="243" spans="1:3" x14ac:dyDescent="0.35">
      <c r="A243">
        <v>241</v>
      </c>
      <c r="B243">
        <f>B242+('Rachford-Rice-Solution'!$M$29-'Rachford-Rice-Solution'!$L$29)/999</f>
        <v>0.30282572042090927</v>
      </c>
      <c r="C243" cm="1">
        <f t="array" ref="C243">RR_Eq('Rachford-Rice-Solution'!$B$29,'Rachford-Rice-Solution'!$C$29,'Rachford-Rice-Solution'!$D$29,'Rachford-Rice-Solution'!$E$29,B243)</f>
        <v>-0.79153838918751451</v>
      </c>
    </row>
    <row r="244" spans="1:3" x14ac:dyDescent="0.35">
      <c r="A244">
        <v>242</v>
      </c>
      <c r="B244">
        <f>B243+('Rachford-Rice-Solution'!$M$29-'Rachford-Rice-Solution'!$L$29)/999</f>
        <v>0.30409322557190654</v>
      </c>
      <c r="C244" cm="1">
        <f t="array" ref="C244">RR_Eq('Rachford-Rice-Solution'!$B$29,'Rachford-Rice-Solution'!$C$29,'Rachford-Rice-Solution'!$D$29,'Rachford-Rice-Solution'!$E$29,B244)</f>
        <v>-0.79361271966675762</v>
      </c>
    </row>
    <row r="245" spans="1:3" x14ac:dyDescent="0.35">
      <c r="A245">
        <v>243</v>
      </c>
      <c r="B245">
        <f>B244+('Rachford-Rice-Solution'!$M$29-'Rachford-Rice-Solution'!$L$29)/999</f>
        <v>0.30536073072290382</v>
      </c>
      <c r="C245" cm="1">
        <f t="array" ref="C245">RR_Eq('Rachford-Rice-Solution'!$B$29,'Rachford-Rice-Solution'!$C$29,'Rachford-Rice-Solution'!$D$29,'Rachford-Rice-Solution'!$E$29,B245)</f>
        <v>-0.79568400620200563</v>
      </c>
    </row>
    <row r="246" spans="1:3" x14ac:dyDescent="0.35">
      <c r="A246">
        <v>244</v>
      </c>
      <c r="B246">
        <f>B245+('Rachford-Rice-Solution'!$M$29-'Rachford-Rice-Solution'!$L$29)/999</f>
        <v>0.30662823587390109</v>
      </c>
      <c r="C246" cm="1">
        <f t="array" ref="C246">RR_Eq('Rachford-Rice-Solution'!$B$29,'Rachford-Rice-Solution'!$C$29,'Rachford-Rice-Solution'!$D$29,'Rachford-Rice-Solution'!$E$29,B246)</f>
        <v>-0.79775234209210555</v>
      </c>
    </row>
    <row r="247" spans="1:3" x14ac:dyDescent="0.35">
      <c r="A247">
        <v>245</v>
      </c>
      <c r="B247">
        <f>B246+('Rachford-Rice-Solution'!$M$29-'Rachford-Rice-Solution'!$L$29)/999</f>
        <v>0.30789574102489836</v>
      </c>
      <c r="C247" cm="1">
        <f t="array" ref="C247">RR_Eq('Rachford-Rice-Solution'!$B$29,'Rachford-Rice-Solution'!$C$29,'Rachford-Rice-Solution'!$D$29,'Rachford-Rice-Solution'!$E$29,B247)</f>
        <v>-0.79981781940040597</v>
      </c>
    </row>
    <row r="248" spans="1:3" x14ac:dyDescent="0.35">
      <c r="A248">
        <v>246</v>
      </c>
      <c r="B248">
        <f>B247+('Rachford-Rice-Solution'!$M$29-'Rachford-Rice-Solution'!$L$29)/999</f>
        <v>0.30916324617589563</v>
      </c>
      <c r="C248" cm="1">
        <f t="array" ref="C248">RR_Eq('Rachford-Rice-Solution'!$B$29,'Rachford-Rice-Solution'!$C$29,'Rachford-Rice-Solution'!$D$29,'Rachford-Rice-Solution'!$E$29,B248)</f>
        <v>-0.80188052898191442</v>
      </c>
    </row>
    <row r="249" spans="1:3" x14ac:dyDescent="0.35">
      <c r="A249">
        <v>247</v>
      </c>
      <c r="B249">
        <f>B248+('Rachford-Rice-Solution'!$M$29-'Rachford-Rice-Solution'!$L$29)/999</f>
        <v>0.31043075132689291</v>
      </c>
      <c r="C249" cm="1">
        <f t="array" ref="C249">RR_Eq('Rachford-Rice-Solution'!$B$29,'Rachford-Rice-Solution'!$C$29,'Rachford-Rice-Solution'!$D$29,'Rachford-Rice-Solution'!$E$29,B249)</f>
        <v>-0.80394056050980545</v>
      </c>
    </row>
    <row r="250" spans="1:3" x14ac:dyDescent="0.35">
      <c r="A250">
        <v>248</v>
      </c>
      <c r="B250">
        <f>B249+('Rachford-Rice-Solution'!$M$29-'Rachford-Rice-Solution'!$L$29)/999</f>
        <v>0.31169825647789018</v>
      </c>
      <c r="C250" cm="1">
        <f t="array" ref="C250">RR_Eq('Rachford-Rice-Solution'!$B$29,'Rachford-Rice-Solution'!$C$29,'Rachford-Rice-Solution'!$D$29,'Rachford-Rice-Solution'!$E$29,B250)</f>
        <v>-0.80599800250130094</v>
      </c>
    </row>
    <row r="251" spans="1:3" x14ac:dyDescent="0.35">
      <c r="A251">
        <v>249</v>
      </c>
      <c r="B251">
        <f>B250+('Rachford-Rice-Solution'!$M$29-'Rachford-Rice-Solution'!$L$29)/999</f>
        <v>0.31296576162888745</v>
      </c>
      <c r="C251" cm="1">
        <f t="array" ref="C251">RR_Eq('Rachford-Rice-Solution'!$B$29,'Rachford-Rice-Solution'!$C$29,'Rachford-Rice-Solution'!$D$29,'Rachford-Rice-Solution'!$E$29,B251)</f>
        <v>-0.80805294234294012</v>
      </c>
    </row>
    <row r="252" spans="1:3" x14ac:dyDescent="0.35">
      <c r="A252">
        <v>250</v>
      </c>
      <c r="B252">
        <f>B251+('Rachford-Rice-Solution'!$M$29-'Rachford-Rice-Solution'!$L$29)/999</f>
        <v>0.31423326677988472</v>
      </c>
      <c r="C252" cm="1">
        <f t="array" ref="C252">RR_Eq('Rachford-Rice-Solution'!$B$29,'Rachford-Rice-Solution'!$C$29,'Rachford-Rice-Solution'!$D$29,'Rachford-Rice-Solution'!$E$29,B252)</f>
        <v>-0.81010546631525671</v>
      </c>
    </row>
    <row r="253" spans="1:3" x14ac:dyDescent="0.35">
      <c r="A253">
        <v>251</v>
      </c>
      <c r="B253">
        <f>B252+('Rachford-Rice-Solution'!$M$29-'Rachford-Rice-Solution'!$L$29)/999</f>
        <v>0.315500771930882</v>
      </c>
      <c r="C253" cm="1">
        <f t="array" ref="C253">RR_Eq('Rachford-Rice-Solution'!$B$29,'Rachford-Rice-Solution'!$C$29,'Rachford-Rice-Solution'!$D$29,'Rachford-Rice-Solution'!$E$29,B253)</f>
        <v>-0.81215565961687841</v>
      </c>
    </row>
    <row r="254" spans="1:3" x14ac:dyDescent="0.35">
      <c r="A254">
        <v>252</v>
      </c>
      <c r="B254">
        <f>B253+('Rachford-Rice-Solution'!$M$29-'Rachford-Rice-Solution'!$L$29)/999</f>
        <v>0.31676827708187927</v>
      </c>
      <c r="C254" cm="1">
        <f t="array" ref="C254">RR_Eq('Rachford-Rice-Solution'!$B$29,'Rachford-Rice-Solution'!$C$29,'Rachford-Rice-Solution'!$D$29,'Rachford-Rice-Solution'!$E$29,B254)</f>
        <v>-0.81420360638806666</v>
      </c>
    </row>
    <row r="255" spans="1:3" x14ac:dyDescent="0.35">
      <c r="A255">
        <v>253</v>
      </c>
      <c r="B255">
        <f>B254+('Rachford-Rice-Solution'!$M$29-'Rachford-Rice-Solution'!$L$29)/999</f>
        <v>0.31803578223287654</v>
      </c>
      <c r="C255" cm="1">
        <f t="array" ref="C255">RR_Eq('Rachford-Rice-Solution'!$B$29,'Rachford-Rice-Solution'!$C$29,'Rachford-Rice-Solution'!$D$29,'Rachford-Rice-Solution'!$E$29,B255)</f>
        <v>-0.81624938973371275</v>
      </c>
    </row>
    <row r="256" spans="1:3" x14ac:dyDescent="0.35">
      <c r="A256">
        <v>254</v>
      </c>
      <c r="B256">
        <f>B255+('Rachford-Rice-Solution'!$M$29-'Rachford-Rice-Solution'!$L$29)/999</f>
        <v>0.31930328738387381</v>
      </c>
      <c r="C256" cm="1">
        <f t="array" ref="C256">RR_Eq('Rachford-Rice-Solution'!$B$29,'Rachford-Rice-Solution'!$C$29,'Rachford-Rice-Solution'!$D$29,'Rachford-Rice-Solution'!$E$29,B256)</f>
        <v>-0.81829309174580267</v>
      </c>
    </row>
    <row r="257" spans="1:3" x14ac:dyDescent="0.35">
      <c r="A257">
        <v>255</v>
      </c>
      <c r="B257">
        <f>B256+('Rachford-Rice-Solution'!$M$29-'Rachford-Rice-Solution'!$L$29)/999</f>
        <v>0.32057079253487109</v>
      </c>
      <c r="C257" cm="1">
        <f t="array" ref="C257">RR_Eq('Rachford-Rice-Solution'!$B$29,'Rachford-Rice-Solution'!$C$29,'Rachford-Rice-Solution'!$D$29,'Rachford-Rice-Solution'!$E$29,B257)</f>
        <v>-0.82033479352536909</v>
      </c>
    </row>
    <row r="258" spans="1:3" x14ac:dyDescent="0.35">
      <c r="A258">
        <v>256</v>
      </c>
      <c r="B258">
        <f>B257+('Rachford-Rice-Solution'!$M$29-'Rachford-Rice-Solution'!$L$29)/999</f>
        <v>0.32183829768586836</v>
      </c>
      <c r="C258" cm="1">
        <f t="array" ref="C258">RR_Eq('Rachford-Rice-Solution'!$B$29,'Rachford-Rice-Solution'!$C$29,'Rachford-Rice-Solution'!$D$29,'Rachford-Rice-Solution'!$E$29,B258)</f>
        <v>-0.82237457520394197</v>
      </c>
    </row>
    <row r="259" spans="1:3" x14ac:dyDescent="0.35">
      <c r="A259">
        <v>257</v>
      </c>
      <c r="B259">
        <f>B258+('Rachford-Rice-Solution'!$M$29-'Rachford-Rice-Solution'!$L$29)/999</f>
        <v>0.32310580283686563</v>
      </c>
      <c r="C259" cm="1">
        <f t="array" ref="C259">RR_Eq('Rachford-Rice-Solution'!$B$29,'Rachford-Rice-Solution'!$C$29,'Rachford-Rice-Solution'!$D$29,'Rachford-Rice-Solution'!$E$29,B259)</f>
        <v>-0.82441251596451326</v>
      </c>
    </row>
    <row r="260" spans="1:3" x14ac:dyDescent="0.35">
      <c r="A260">
        <v>258</v>
      </c>
      <c r="B260">
        <f>B259+('Rachford-Rice-Solution'!$M$29-'Rachford-Rice-Solution'!$L$29)/999</f>
        <v>0.3243733079878629</v>
      </c>
      <c r="C260" cm="1">
        <f t="array" ref="C260">RR_Eq('Rachford-Rice-Solution'!$B$29,'Rachford-Rice-Solution'!$C$29,'Rachford-Rice-Solution'!$D$29,'Rachford-Rice-Solution'!$E$29,B260)</f>
        <v>-0.82644869406202848</v>
      </c>
    </row>
    <row r="261" spans="1:3" x14ac:dyDescent="0.35">
      <c r="A261">
        <v>259</v>
      </c>
      <c r="B261">
        <f>B260+('Rachford-Rice-Solution'!$M$29-'Rachford-Rice-Solution'!$L$29)/999</f>
        <v>0.32564081313886017</v>
      </c>
      <c r="C261" cm="1">
        <f t="array" ref="C261">RR_Eq('Rachford-Rice-Solution'!$B$29,'Rachford-Rice-Solution'!$C$29,'Rachford-Rice-Solution'!$D$29,'Rachford-Rice-Solution'!$E$29,B261)</f>
        <v>-0.82848318684341671</v>
      </c>
    </row>
    <row r="262" spans="1:3" x14ac:dyDescent="0.35">
      <c r="A262">
        <v>260</v>
      </c>
      <c r="B262">
        <f>B261+('Rachford-Rice-Solution'!$M$29-'Rachford-Rice-Solution'!$L$29)/999</f>
        <v>0.32690831828985745</v>
      </c>
      <c r="C262" cm="1">
        <f t="array" ref="C262">RR_Eq('Rachford-Rice-Solution'!$B$29,'Rachford-Rice-Solution'!$C$29,'Rachford-Rice-Solution'!$D$29,'Rachford-Rice-Solution'!$E$29,B262)</f>
        <v>-0.83051607076717615</v>
      </c>
    </row>
    <row r="263" spans="1:3" x14ac:dyDescent="0.35">
      <c r="A263">
        <v>261</v>
      </c>
      <c r="B263">
        <f>B262+('Rachford-Rice-Solution'!$M$29-'Rachford-Rice-Solution'!$L$29)/999</f>
        <v>0.32817582344085472</v>
      </c>
      <c r="C263" cm="1">
        <f t="array" ref="C263">RR_Eq('Rachford-Rice-Solution'!$B$29,'Rachford-Rice-Solution'!$C$29,'Rachford-Rice-Solution'!$D$29,'Rachford-Rice-Solution'!$E$29,B263)</f>
        <v>-0.83254742142252158</v>
      </c>
    </row>
    <row r="264" spans="1:3" x14ac:dyDescent="0.35">
      <c r="A264">
        <v>262</v>
      </c>
      <c r="B264">
        <f>B263+('Rachford-Rice-Solution'!$M$29-'Rachford-Rice-Solution'!$L$29)/999</f>
        <v>0.32944332859185199</v>
      </c>
      <c r="C264" cm="1">
        <f t="array" ref="C264">RR_Eq('Rachford-Rice-Solution'!$B$29,'Rachford-Rice-Solution'!$C$29,'Rachford-Rice-Solution'!$D$29,'Rachford-Rice-Solution'!$E$29,B264)</f>
        <v>-0.83457731354810838</v>
      </c>
    </row>
    <row r="265" spans="1:3" x14ac:dyDescent="0.35">
      <c r="A265">
        <v>263</v>
      </c>
      <c r="B265">
        <f>B264+('Rachford-Rice-Solution'!$M$29-'Rachford-Rice-Solution'!$L$29)/999</f>
        <v>0.33071083374284926</v>
      </c>
      <c r="C265" cm="1">
        <f t="array" ref="C265">RR_Eq('Rachford-Rice-Solution'!$B$29,'Rachford-Rice-Solution'!$C$29,'Rachford-Rice-Solution'!$D$29,'Rachford-Rice-Solution'!$E$29,B265)</f>
        <v>-0.83660582105034786</v>
      </c>
    </row>
    <row r="266" spans="1:3" x14ac:dyDescent="0.35">
      <c r="A266">
        <v>264</v>
      </c>
      <c r="B266">
        <f>B265+('Rachford-Rice-Solution'!$M$29-'Rachford-Rice-Solution'!$L$29)/999</f>
        <v>0.33197833889384654</v>
      </c>
      <c r="C266" cm="1">
        <f t="array" ref="C266">RR_Eq('Rachford-Rice-Solution'!$B$29,'Rachford-Rice-Solution'!$C$29,'Rachford-Rice-Solution'!$D$29,'Rachford-Rice-Solution'!$E$29,B266)</f>
        <v>-0.8386330170213161</v>
      </c>
    </row>
    <row r="267" spans="1:3" x14ac:dyDescent="0.35">
      <c r="A267">
        <v>265</v>
      </c>
      <c r="B267">
        <f>B266+('Rachford-Rice-Solution'!$M$29-'Rachford-Rice-Solution'!$L$29)/999</f>
        <v>0.33324584404484381</v>
      </c>
      <c r="C267" cm="1">
        <f t="array" ref="C267">RR_Eq('Rachford-Rice-Solution'!$B$29,'Rachford-Rice-Solution'!$C$29,'Rachford-Rice-Solution'!$D$29,'Rachford-Rice-Solution'!$E$29,B267)</f>
        <v>-0.84065897375627907</v>
      </c>
    </row>
    <row r="268" spans="1:3" x14ac:dyDescent="0.35">
      <c r="A268">
        <v>266</v>
      </c>
      <c r="B268">
        <f>B267+('Rachford-Rice-Solution'!$M$29-'Rachford-Rice-Solution'!$L$29)/999</f>
        <v>0.33451334919584108</v>
      </c>
      <c r="C268" cm="1">
        <f t="array" ref="C268">RR_Eq('Rachford-Rice-Solution'!$B$29,'Rachford-Rice-Solution'!$C$29,'Rachford-Rice-Solution'!$D$29,'Rachford-Rice-Solution'!$E$29,B268)</f>
        <v>-0.84268376277083268</v>
      </c>
    </row>
    <row r="269" spans="1:3" x14ac:dyDescent="0.35">
      <c r="A269">
        <v>267</v>
      </c>
      <c r="B269">
        <f>B268+('Rachford-Rice-Solution'!$M$29-'Rachford-Rice-Solution'!$L$29)/999</f>
        <v>0.33578085434683835</v>
      </c>
      <c r="C269" cm="1">
        <f t="array" ref="C269">RR_Eq('Rachford-Rice-Solution'!$B$29,'Rachford-Rice-Solution'!$C$29,'Rachford-Rice-Solution'!$D$29,'Rachford-Rice-Solution'!$E$29,B269)</f>
        <v>-0.84470745481767662</v>
      </c>
    </row>
    <row r="270" spans="1:3" x14ac:dyDescent="0.35">
      <c r="A270">
        <v>268</v>
      </c>
      <c r="B270">
        <f>B269+('Rachford-Rice-Solution'!$M$29-'Rachford-Rice-Solution'!$L$29)/999</f>
        <v>0.33704835949783563</v>
      </c>
      <c r="C270" cm="1">
        <f t="array" ref="C270">RR_Eq('Rachford-Rice-Solution'!$B$29,'Rachford-Rice-Solution'!$C$29,'Rachford-Rice-Solution'!$D$29,'Rachford-Rice-Solution'!$E$29,B270)</f>
        <v>-0.84673011990302716</v>
      </c>
    </row>
    <row r="271" spans="1:3" x14ac:dyDescent="0.35">
      <c r="A271">
        <v>269</v>
      </c>
      <c r="B271">
        <f>B270+('Rachford-Rice-Solution'!$M$29-'Rachford-Rice-Solution'!$L$29)/999</f>
        <v>0.3383158646488329</v>
      </c>
      <c r="C271" cm="1">
        <f t="array" ref="C271">RR_Eq('Rachford-Rice-Solution'!$B$29,'Rachford-Rice-Solution'!$C$29,'Rachford-Rice-Solution'!$D$29,'Rachford-Rice-Solution'!$E$29,B271)</f>
        <v>-0.84875182730268039</v>
      </c>
    </row>
    <row r="272" spans="1:3" x14ac:dyDescent="0.35">
      <c r="A272">
        <v>270</v>
      </c>
      <c r="B272">
        <f>B271+('Rachford-Rice-Solution'!$M$29-'Rachford-Rice-Solution'!$L$29)/999</f>
        <v>0.33958336979983017</v>
      </c>
      <c r="C272" cm="1">
        <f t="array" ref="C272">RR_Eq('Rachford-Rice-Solution'!$B$29,'Rachford-Rice-Solution'!$C$29,'Rachford-Rice-Solution'!$D$29,'Rachford-Rice-Solution'!$E$29,B272)</f>
        <v>-0.85077264557773502</v>
      </c>
    </row>
    <row r="273" spans="1:3" x14ac:dyDescent="0.35">
      <c r="A273">
        <v>271</v>
      </c>
      <c r="B273">
        <f>B272+('Rachford-Rice-Solution'!$M$29-'Rachford-Rice-Solution'!$L$29)/999</f>
        <v>0.34085087495082744</v>
      </c>
      <c r="C273" cm="1">
        <f t="array" ref="C273">RR_Eq('Rachford-Rice-Solution'!$B$29,'Rachford-Rice-Solution'!$C$29,'Rachford-Rice-Solution'!$D$29,'Rachford-Rice-Solution'!$E$29,B273)</f>
        <v>-0.85279264258998166</v>
      </c>
    </row>
    <row r="274" spans="1:3" x14ac:dyDescent="0.35">
      <c r="A274">
        <v>272</v>
      </c>
      <c r="B274">
        <f>B273+('Rachford-Rice-Solution'!$M$29-'Rachford-Rice-Solution'!$L$29)/999</f>
        <v>0.34211838010182472</v>
      </c>
      <c r="C274" cm="1">
        <f t="array" ref="C274">RR_Eq('Rachford-Rice-Solution'!$B$29,'Rachford-Rice-Solution'!$C$29,'Rachford-Rice-Solution'!$D$29,'Rachford-Rice-Solution'!$E$29,B274)</f>
        <v>-0.85481188551697196</v>
      </c>
    </row>
    <row r="275" spans="1:3" x14ac:dyDescent="0.35">
      <c r="A275">
        <v>273</v>
      </c>
      <c r="B275">
        <f>B274+('Rachford-Rice-Solution'!$M$29-'Rachford-Rice-Solution'!$L$29)/999</f>
        <v>0.34338588525282199</v>
      </c>
      <c r="C275" cm="1">
        <f t="array" ref="C275">RR_Eq('Rachford-Rice-Solution'!$B$29,'Rachford-Rice-Solution'!$C$29,'Rachford-Rice-Solution'!$D$29,'Rachford-Rice-Solution'!$E$29,B275)</f>
        <v>-0.85683044086677029</v>
      </c>
    </row>
    <row r="276" spans="1:3" x14ac:dyDescent="0.35">
      <c r="A276">
        <v>274</v>
      </c>
      <c r="B276">
        <f>B275+('Rachford-Rice-Solution'!$M$29-'Rachford-Rice-Solution'!$L$29)/999</f>
        <v>0.34465339040381926</v>
      </c>
      <c r="C276" cm="1">
        <f t="array" ref="C276">RR_Eq('Rachford-Rice-Solution'!$B$29,'Rachford-Rice-Solution'!$C$29,'Rachford-Rice-Solution'!$D$29,'Rachford-Rice-Solution'!$E$29,B276)</f>
        <v>-0.85884837449240115</v>
      </c>
    </row>
    <row r="277" spans="1:3" x14ac:dyDescent="0.35">
      <c r="A277">
        <v>275</v>
      </c>
      <c r="B277">
        <f>B276+('Rachford-Rice-Solution'!$M$29-'Rachford-Rice-Solution'!$L$29)/999</f>
        <v>0.34592089555481653</v>
      </c>
      <c r="C277" cm="1">
        <f t="array" ref="C277">RR_Eq('Rachford-Rice-Solution'!$B$29,'Rachford-Rice-Solution'!$C$29,'Rachford-Rice-Solution'!$D$29,'Rachford-Rice-Solution'!$E$29,B277)</f>
        <v>-0.86086575160599654</v>
      </c>
    </row>
    <row r="278" spans="1:3" x14ac:dyDescent="0.35">
      <c r="A278">
        <v>276</v>
      </c>
      <c r="B278">
        <f>B277+('Rachford-Rice-Solution'!$M$29-'Rachford-Rice-Solution'!$L$29)/999</f>
        <v>0.3471884007058138</v>
      </c>
      <c r="C278" cm="1">
        <f t="array" ref="C278">RR_Eq('Rachford-Rice-Solution'!$B$29,'Rachford-Rice-Solution'!$C$29,'Rachford-Rice-Solution'!$D$29,'Rachford-Rice-Solution'!$E$29,B278)</f>
        <v>-0.86288263679265431</v>
      </c>
    </row>
    <row r="279" spans="1:3" x14ac:dyDescent="0.35">
      <c r="A279">
        <v>277</v>
      </c>
      <c r="B279">
        <f>B278+('Rachford-Rice-Solution'!$M$29-'Rachford-Rice-Solution'!$L$29)/999</f>
        <v>0.34845590585681108</v>
      </c>
      <c r="C279" cm="1">
        <f t="array" ref="C279">RR_Eq('Rachford-Rice-Solution'!$B$29,'Rachford-Rice-Solution'!$C$29,'Rachford-Rice-Solution'!$D$29,'Rachford-Rice-Solution'!$E$29,B279)</f>
        <v>-0.8648990940240131</v>
      </c>
    </row>
    <row r="280" spans="1:3" x14ac:dyDescent="0.35">
      <c r="A280">
        <v>278</v>
      </c>
      <c r="B280">
        <f>B279+('Rachford-Rice-Solution'!$M$29-'Rachford-Rice-Solution'!$L$29)/999</f>
        <v>0.34972341100780835</v>
      </c>
      <c r="C280" cm="1">
        <f t="array" ref="C280">RR_Eq('Rachford-Rice-Solution'!$B$29,'Rachford-Rice-Solution'!$C$29,'Rachford-Rice-Solution'!$D$29,'Rachford-Rice-Solution'!$E$29,B280)</f>
        <v>-0.86691518667155043</v>
      </c>
    </row>
    <row r="281" spans="1:3" x14ac:dyDescent="0.35">
      <c r="A281">
        <v>279</v>
      </c>
      <c r="B281">
        <f>B280+('Rachford-Rice-Solution'!$M$29-'Rachford-Rice-Solution'!$L$29)/999</f>
        <v>0.35099091615880562</v>
      </c>
      <c r="C281" cm="1">
        <f t="array" ref="C281">RR_Eq('Rachford-Rice-Solution'!$B$29,'Rachford-Rice-Solution'!$C$29,'Rachford-Rice-Solution'!$D$29,'Rachford-Rice-Solution'!$E$29,B281)</f>
        <v>-0.86893097751961368</v>
      </c>
    </row>
    <row r="282" spans="1:3" x14ac:dyDescent="0.35">
      <c r="A282">
        <v>280</v>
      </c>
      <c r="B282">
        <f>B281+('Rachford-Rice-Solution'!$M$29-'Rachford-Rice-Solution'!$L$29)/999</f>
        <v>0.35225842130980289</v>
      </c>
      <c r="C282" cm="1">
        <f t="array" ref="C282">RR_Eq('Rachford-Rice-Solution'!$B$29,'Rachford-Rice-Solution'!$C$29,'Rachford-Rice-Solution'!$D$29,'Rachford-Rice-Solution'!$E$29,B282)</f>
        <v>-0.87094652877818901</v>
      </c>
    </row>
    <row r="283" spans="1:3" x14ac:dyDescent="0.35">
      <c r="A283">
        <v>281</v>
      </c>
      <c r="B283">
        <f>B282+('Rachford-Rice-Solution'!$M$29-'Rachford-Rice-Solution'!$L$29)/999</f>
        <v>0.35352592646080017</v>
      </c>
      <c r="C283" cm="1">
        <f t="array" ref="C283">RR_Eq('Rachford-Rice-Solution'!$B$29,'Rachford-Rice-Solution'!$C$29,'Rachford-Rice-Solution'!$D$29,'Rachford-Rice-Solution'!$E$29,B283)</f>
        <v>-0.87296190209541469</v>
      </c>
    </row>
    <row r="284" spans="1:3" x14ac:dyDescent="0.35">
      <c r="A284">
        <v>282</v>
      </c>
      <c r="B284">
        <f>B283+('Rachford-Rice-Solution'!$M$29-'Rachford-Rice-Solution'!$L$29)/999</f>
        <v>0.35479343161179744</v>
      </c>
      <c r="C284" cm="1">
        <f t="array" ref="C284">RR_Eq('Rachford-Rice-Solution'!$B$29,'Rachford-Rice-Solution'!$C$29,'Rachford-Rice-Solution'!$D$29,'Rachford-Rice-Solution'!$E$29,B284)</f>
        <v>-0.87497715856984704</v>
      </c>
    </row>
    <row r="285" spans="1:3" x14ac:dyDescent="0.35">
      <c r="A285">
        <v>283</v>
      </c>
      <c r="B285">
        <f>B284+('Rachford-Rice-Solution'!$M$29-'Rachford-Rice-Solution'!$L$29)/999</f>
        <v>0.35606093676279471</v>
      </c>
      <c r="C285" cm="1">
        <f t="array" ref="C285">RR_Eq('Rachford-Rice-Solution'!$B$29,'Rachford-Rice-Solution'!$C$29,'Rachford-Rice-Solution'!$D$29,'Rachford-Rice-Solution'!$E$29,B285)</f>
        <v>-0.87699235876248272</v>
      </c>
    </row>
    <row r="286" spans="1:3" x14ac:dyDescent="0.35">
      <c r="A286">
        <v>284</v>
      </c>
      <c r="B286">
        <f>B285+('Rachford-Rice-Solution'!$M$29-'Rachford-Rice-Solution'!$L$29)/999</f>
        <v>0.35732844191379198</v>
      </c>
      <c r="C286" cm="1">
        <f t="array" ref="C286">RR_Eq('Rachford-Rice-Solution'!$B$29,'Rachford-Rice-Solution'!$C$29,'Rachford-Rice-Solution'!$D$29,'Rachford-Rice-Solution'!$E$29,B286)</f>
        <v>-0.8790075627085483</v>
      </c>
    </row>
    <row r="287" spans="1:3" x14ac:dyDescent="0.35">
      <c r="A287">
        <v>285</v>
      </c>
      <c r="B287">
        <f>B286+('Rachford-Rice-Solution'!$M$29-'Rachford-Rice-Solution'!$L$29)/999</f>
        <v>0.35859594706478926</v>
      </c>
      <c r="C287" cm="1">
        <f t="array" ref="C287">RR_Eq('Rachford-Rice-Solution'!$B$29,'Rachford-Rice-Solution'!$C$29,'Rachford-Rice-Solution'!$D$29,'Rachford-Rice-Solution'!$E$29,B287)</f>
        <v>-0.88102282992905567</v>
      </c>
    </row>
    <row r="288" spans="1:3" x14ac:dyDescent="0.35">
      <c r="A288">
        <v>286</v>
      </c>
      <c r="B288">
        <f>B287+('Rachford-Rice-Solution'!$M$29-'Rachford-Rice-Solution'!$L$29)/999</f>
        <v>0.35986345221578653</v>
      </c>
      <c r="C288" cm="1">
        <f t="array" ref="C288">RR_Eq('Rachford-Rice-Solution'!$B$29,'Rachford-Rice-Solution'!$C$29,'Rachford-Rice-Solution'!$D$29,'Rachford-Rice-Solution'!$E$29,B288)</f>
        <v>-0.88303821944213601</v>
      </c>
    </row>
    <row r="289" spans="1:3" x14ac:dyDescent="0.35">
      <c r="A289">
        <v>287</v>
      </c>
      <c r="B289">
        <f>B288+('Rachford-Rice-Solution'!$M$29-'Rachford-Rice-Solution'!$L$29)/999</f>
        <v>0.3611309573667838</v>
      </c>
      <c r="C289" cm="1">
        <f t="array" ref="C289">RR_Eq('Rachford-Rice-Solution'!$B$29,'Rachford-Rice-Solution'!$C$29,'Rachford-Rice-Solution'!$D$29,'Rachford-Rice-Solution'!$E$29,B289)</f>
        <v>-0.88505378977415727</v>
      </c>
    </row>
    <row r="290" spans="1:3" x14ac:dyDescent="0.35">
      <c r="A290">
        <v>288</v>
      </c>
      <c r="B290">
        <f>B289+('Rachford-Rice-Solution'!$M$29-'Rachford-Rice-Solution'!$L$29)/999</f>
        <v>0.36239846251778107</v>
      </c>
      <c r="C290" cm="1">
        <f t="array" ref="C290">RR_Eq('Rachford-Rice-Solution'!$B$29,'Rachford-Rice-Solution'!$C$29,'Rachford-Rice-Solution'!$D$29,'Rachford-Rice-Solution'!$E$29,B290)</f>
        <v>-0.88706959897062221</v>
      </c>
    </row>
    <row r="291" spans="1:3" x14ac:dyDescent="0.35">
      <c r="A291">
        <v>289</v>
      </c>
      <c r="B291">
        <f>B290+('Rachford-Rice-Solution'!$M$29-'Rachford-Rice-Solution'!$L$29)/999</f>
        <v>0.36366596766877834</v>
      </c>
      <c r="C291" cm="1">
        <f t="array" ref="C291">RR_Eq('Rachford-Rice-Solution'!$B$29,'Rachford-Rice-Solution'!$C$29,'Rachford-Rice-Solution'!$D$29,'Rachford-Rice-Solution'!$E$29,B291)</f>
        <v>-0.88908570460686787</v>
      </c>
    </row>
    <row r="292" spans="1:3" x14ac:dyDescent="0.35">
      <c r="A292">
        <v>290</v>
      </c>
      <c r="B292">
        <f>B291+('Rachford-Rice-Solution'!$M$29-'Rachford-Rice-Solution'!$L$29)/999</f>
        <v>0.36493347281977562</v>
      </c>
      <c r="C292" cm="1">
        <f t="array" ref="C292">RR_Eq('Rachford-Rice-Solution'!$B$29,'Rachford-Rice-Solution'!$C$29,'Rachford-Rice-Solution'!$D$29,'Rachford-Rice-Solution'!$E$29,B292)</f>
        <v>-0.89110216379855456</v>
      </c>
    </row>
    <row r="293" spans="1:3" x14ac:dyDescent="0.35">
      <c r="A293">
        <v>291</v>
      </c>
      <c r="B293">
        <f>B292+('Rachford-Rice-Solution'!$M$29-'Rachford-Rice-Solution'!$L$29)/999</f>
        <v>0.36620097797077289</v>
      </c>
      <c r="C293" cm="1">
        <f t="array" ref="C293">RR_Eq('Rachford-Rice-Solution'!$B$29,'Rachford-Rice-Solution'!$C$29,'Rachford-Rice-Solution'!$D$29,'Rachford-Rice-Solution'!$E$29,B293)</f>
        <v>-0.89311903321196284</v>
      </c>
    </row>
    <row r="294" spans="1:3" x14ac:dyDescent="0.35">
      <c r="A294">
        <v>292</v>
      </c>
      <c r="B294">
        <f>B293+('Rachford-Rice-Solution'!$M$29-'Rachford-Rice-Solution'!$L$29)/999</f>
        <v>0.36746848312177016</v>
      </c>
      <c r="C294" cm="1">
        <f t="array" ref="C294">RR_Eq('Rachford-Rice-Solution'!$B$29,'Rachford-Rice-Solution'!$C$29,'Rachford-Rice-Solution'!$D$29,'Rachford-Rice-Solution'!$E$29,B294)</f>
        <v>-0.89513636907409666</v>
      </c>
    </row>
    <row r="295" spans="1:3" x14ac:dyDescent="0.35">
      <c r="A295">
        <v>293</v>
      </c>
      <c r="B295">
        <f>B294+('Rachford-Rice-Solution'!$M$29-'Rachford-Rice-Solution'!$L$29)/999</f>
        <v>0.36873598827276743</v>
      </c>
      <c r="C295" cm="1">
        <f t="array" ref="C295">RR_Eq('Rachford-Rice-Solution'!$B$29,'Rachford-Rice-Solution'!$C$29,'Rachford-Rice-Solution'!$D$29,'Rachford-Rice-Solution'!$E$29,B295)</f>
        <v>-0.89715422718259796</v>
      </c>
    </row>
    <row r="296" spans="1:3" x14ac:dyDescent="0.35">
      <c r="A296">
        <v>294</v>
      </c>
      <c r="B296">
        <f>B295+('Rachford-Rice-Solution'!$M$29-'Rachford-Rice-Solution'!$L$29)/999</f>
        <v>0.37000349342376471</v>
      </c>
      <c r="C296" cm="1">
        <f t="array" ref="C296">RR_Eq('Rachford-Rice-Solution'!$B$29,'Rachford-Rice-Solution'!$C$29,'Rachford-Rice-Solution'!$D$29,'Rachford-Rice-Solution'!$E$29,B296)</f>
        <v>-0.89917266291548104</v>
      </c>
    </row>
    <row r="297" spans="1:3" x14ac:dyDescent="0.35">
      <c r="A297">
        <v>295</v>
      </c>
      <c r="B297">
        <f>B296+('Rachford-Rice-Solution'!$M$29-'Rachford-Rice-Solution'!$L$29)/999</f>
        <v>0.37127099857476198</v>
      </c>
      <c r="C297" cm="1">
        <f t="array" ref="C297">RR_Eq('Rachford-Rice-Solution'!$B$29,'Rachford-Rice-Solution'!$C$29,'Rachford-Rice-Solution'!$D$29,'Rachford-Rice-Solution'!$E$29,B297)</f>
        <v>-0.9011917312406853</v>
      </c>
    </row>
    <row r="298" spans="1:3" x14ac:dyDescent="0.35">
      <c r="A298">
        <v>296</v>
      </c>
      <c r="B298">
        <f>B297+('Rachford-Rice-Solution'!$M$29-'Rachford-Rice-Solution'!$L$29)/999</f>
        <v>0.37253850372575925</v>
      </c>
      <c r="C298" cm="1">
        <f t="array" ref="C298">RR_Eq('Rachford-Rice-Solution'!$B$29,'Rachford-Rice-Solution'!$C$29,'Rachford-Rice-Solution'!$D$29,'Rachford-Rice-Solution'!$E$29,B298)</f>
        <v>-0.90321148672545792</v>
      </c>
    </row>
    <row r="299" spans="1:3" x14ac:dyDescent="0.35">
      <c r="A299">
        <v>297</v>
      </c>
      <c r="B299">
        <f>B298+('Rachford-Rice-Solution'!$M$29-'Rachford-Rice-Solution'!$L$29)/999</f>
        <v>0.37380600887675652</v>
      </c>
      <c r="C299" cm="1">
        <f t="array" ref="C299">RR_Eq('Rachford-Rice-Solution'!$B$29,'Rachford-Rice-Solution'!$C$29,'Rachford-Rice-Solution'!$D$29,'Rachford-Rice-Solution'!$E$29,B299)</f>
        <v>-0.90523198354556433</v>
      </c>
    </row>
    <row r="300" spans="1:3" x14ac:dyDescent="0.35">
      <c r="A300">
        <v>298</v>
      </c>
      <c r="B300">
        <f>B299+('Rachford-Rice-Solution'!$M$29-'Rachford-Rice-Solution'!$L$29)/999</f>
        <v>0.3750735140277538</v>
      </c>
      <c r="C300" cm="1">
        <f t="array" ref="C300">RR_Eq('Rachford-Rice-Solution'!$B$29,'Rachford-Rice-Solution'!$C$29,'Rachford-Rice-Solution'!$D$29,'Rachford-Rice-Solution'!$E$29,B300)</f>
        <v>-0.90725327549433388</v>
      </c>
    </row>
    <row r="301" spans="1:3" x14ac:dyDescent="0.35">
      <c r="A301">
        <v>299</v>
      </c>
      <c r="B301">
        <f>B300+('Rachford-Rice-Solution'!$M$29-'Rachford-Rice-Solution'!$L$29)/999</f>
        <v>0.37634101917875107</v>
      </c>
      <c r="C301" cm="1">
        <f t="array" ref="C301">RR_Eq('Rachford-Rice-Solution'!$B$29,'Rachford-Rice-Solution'!$C$29,'Rachford-Rice-Solution'!$D$29,'Rachford-Rice-Solution'!$E$29,B301)</f>
        <v>-0.90927541599154604</v>
      </c>
    </row>
    <row r="302" spans="1:3" x14ac:dyDescent="0.35">
      <c r="A302">
        <v>300</v>
      </c>
      <c r="B302">
        <f>B301+('Rachford-Rice-Solution'!$M$29-'Rachford-Rice-Solution'!$L$29)/999</f>
        <v>0.37760852432974834</v>
      </c>
      <c r="C302" cm="1">
        <f t="array" ref="C302">RR_Eq('Rachford-Rice-Solution'!$B$29,'Rachford-Rice-Solution'!$C$29,'Rachford-Rice-Solution'!$D$29,'Rachford-Rice-Solution'!$E$29,B302)</f>
        <v>-0.91129845809215582</v>
      </c>
    </row>
    <row r="303" spans="1:3" x14ac:dyDescent="0.35">
      <c r="A303">
        <v>301</v>
      </c>
      <c r="B303">
        <f>B302+('Rachford-Rice-Solution'!$M$29-'Rachford-Rice-Solution'!$L$29)/999</f>
        <v>0.37887602948074561</v>
      </c>
      <c r="C303" cm="1">
        <f t="array" ref="C303">RR_Eq('Rachford-Rice-Solution'!$B$29,'Rachford-Rice-Solution'!$C$29,'Rachford-Rice-Solution'!$D$29,'Rachford-Rice-Solution'!$E$29,B303)</f>
        <v>-0.91332245449487137</v>
      </c>
    </row>
    <row r="304" spans="1:3" x14ac:dyDescent="0.35">
      <c r="A304">
        <v>302</v>
      </c>
      <c r="B304">
        <f>B303+('Rachford-Rice-Solution'!$M$29-'Rachford-Rice-Solution'!$L$29)/999</f>
        <v>0.38014353463174289</v>
      </c>
      <c r="C304" cm="1">
        <f t="array" ref="C304">RR_Eq('Rachford-Rice-Solution'!$B$29,'Rachford-Rice-Solution'!$C$29,'Rachford-Rice-Solution'!$D$29,'Rachford-Rice-Solution'!$E$29,B304)</f>
        <v>-0.91534745755057534</v>
      </c>
    </row>
    <row r="305" spans="1:3" x14ac:dyDescent="0.35">
      <c r="A305">
        <v>303</v>
      </c>
      <c r="B305">
        <f>B304+('Rachford-Rice-Solution'!$M$29-'Rachford-Rice-Solution'!$L$29)/999</f>
        <v>0.38141103978274016</v>
      </c>
      <c r="C305" cm="1">
        <f t="array" ref="C305">RR_Eq('Rachford-Rice-Solution'!$B$29,'Rachford-Rice-Solution'!$C$29,'Rachford-Rice-Solution'!$D$29,'Rachford-Rice-Solution'!$E$29,B305)</f>
        <v>-0.91737351927060684</v>
      </c>
    </row>
    <row r="306" spans="1:3" x14ac:dyDescent="0.35">
      <c r="A306">
        <v>304</v>
      </c>
      <c r="B306">
        <f>B305+('Rachford-Rice-Solution'!$M$29-'Rachford-Rice-Solution'!$L$29)/999</f>
        <v>0.38267854493373743</v>
      </c>
      <c r="C306" cm="1">
        <f t="array" ref="C306">RR_Eq('Rachford-Rice-Solution'!$B$29,'Rachford-Rice-Solution'!$C$29,'Rachford-Rice-Solution'!$D$29,'Rachford-Rice-Solution'!$E$29,B306)</f>
        <v>-0.9194006913348951</v>
      </c>
    </row>
    <row r="307" spans="1:3" x14ac:dyDescent="0.35">
      <c r="A307">
        <v>305</v>
      </c>
      <c r="B307">
        <f>B306+('Rachford-Rice-Solution'!$M$29-'Rachford-Rice-Solution'!$L$29)/999</f>
        <v>0.3839460500847347</v>
      </c>
      <c r="C307" cm="1">
        <f t="array" ref="C307">RR_Eq('Rachford-Rice-Solution'!$B$29,'Rachford-Rice-Solution'!$C$29,'Rachford-Rice-Solution'!$D$29,'Rachford-Rice-Solution'!$E$29,B307)</f>
        <v>-0.92142902509996039</v>
      </c>
    </row>
    <row r="308" spans="1:3" x14ac:dyDescent="0.35">
      <c r="A308">
        <v>306</v>
      </c>
      <c r="B308">
        <f>B307+('Rachford-Rice-Solution'!$M$29-'Rachford-Rice-Solution'!$L$29)/999</f>
        <v>0.38521355523573197</v>
      </c>
      <c r="C308" cm="1">
        <f t="array" ref="C308">RR_Eq('Rachford-Rice-Solution'!$B$29,'Rachford-Rice-Solution'!$C$29,'Rachford-Rice-Solution'!$D$29,'Rachford-Rice-Solution'!$E$29,B308)</f>
        <v>-0.92345857160677458</v>
      </c>
    </row>
    <row r="309" spans="1:3" x14ac:dyDescent="0.35">
      <c r="A309">
        <v>307</v>
      </c>
      <c r="B309">
        <f>B308+('Rachford-Rice-Solution'!$M$29-'Rachford-Rice-Solution'!$L$29)/999</f>
        <v>0.38648106038672925</v>
      </c>
      <c r="C309" cm="1">
        <f t="array" ref="C309">RR_Eq('Rachford-Rice-Solution'!$B$29,'Rachford-Rice-Solution'!$C$29,'Rachford-Rice-Solution'!$D$29,'Rachford-Rice-Solution'!$E$29,B309)</f>
        <v>-0.92548938158849103</v>
      </c>
    </row>
    <row r="310" spans="1:3" x14ac:dyDescent="0.35">
      <c r="A310">
        <v>308</v>
      </c>
      <c r="B310">
        <f>B309+('Rachford-Rice-Solution'!$M$29-'Rachford-Rice-Solution'!$L$29)/999</f>
        <v>0.38774856553772652</v>
      </c>
      <c r="C310" cm="1">
        <f t="array" ref="C310">RR_Eq('Rachford-Rice-Solution'!$B$29,'Rachford-Rice-Solution'!$C$29,'Rachford-Rice-Solution'!$D$29,'Rachford-Rice-Solution'!$E$29,B310)</f>
        <v>-0.92752150547804824</v>
      </c>
    </row>
    <row r="311" spans="1:3" x14ac:dyDescent="0.35">
      <c r="A311">
        <v>309</v>
      </c>
      <c r="B311">
        <f>B310+('Rachford-Rice-Solution'!$M$29-'Rachford-Rice-Solution'!$L$29)/999</f>
        <v>0.38901607068872379</v>
      </c>
      <c r="C311" cm="1">
        <f t="array" ref="C311">RR_Eq('Rachford-Rice-Solution'!$B$29,'Rachford-Rice-Solution'!$C$29,'Rachford-Rice-Solution'!$D$29,'Rachford-Rice-Solution'!$E$29,B311)</f>
        <v>-0.9295549934156444</v>
      </c>
    </row>
    <row r="312" spans="1:3" x14ac:dyDescent="0.35">
      <c r="A312">
        <v>310</v>
      </c>
      <c r="B312">
        <f>B311+('Rachford-Rice-Solution'!$M$29-'Rachford-Rice-Solution'!$L$29)/999</f>
        <v>0.39028357583972106</v>
      </c>
      <c r="C312" cm="1">
        <f t="array" ref="C312">RR_Eq('Rachford-Rice-Solution'!$B$29,'Rachford-Rice-Solution'!$C$29,'Rachford-Rice-Solution'!$D$29,'Rachford-Rice-Solution'!$E$29,B312)</f>
        <v>-0.93158989525609059</v>
      </c>
    </row>
    <row r="313" spans="1:3" x14ac:dyDescent="0.35">
      <c r="A313">
        <v>311</v>
      </c>
      <c r="B313">
        <f>B312+('Rachford-Rice-Solution'!$M$29-'Rachford-Rice-Solution'!$L$29)/999</f>
        <v>0.39155108099071834</v>
      </c>
      <c r="C313" cm="1">
        <f t="array" ref="C313">RR_Eq('Rachford-Rice-Solution'!$B$29,'Rachford-Rice-Solution'!$C$29,'Rachford-Rice-Solution'!$D$29,'Rachford-Rice-Solution'!$E$29,B313)</f>
        <v>-0.93362626057604459</v>
      </c>
    </row>
    <row r="314" spans="1:3" x14ac:dyDescent="0.35">
      <c r="A314">
        <v>312</v>
      </c>
      <c r="B314">
        <f>B313+('Rachford-Rice-Solution'!$M$29-'Rachford-Rice-Solution'!$L$29)/999</f>
        <v>0.39281858614171561</v>
      </c>
      <c r="C314" cm="1">
        <f t="array" ref="C314">RR_Eq('Rachford-Rice-Solution'!$B$29,'Rachford-Rice-Solution'!$C$29,'Rachford-Rice-Solution'!$D$29,'Rachford-Rice-Solution'!$E$29,B314)</f>
        <v>-0.93566413868112808</v>
      </c>
    </row>
    <row r="315" spans="1:3" x14ac:dyDescent="0.35">
      <c r="A315">
        <v>313</v>
      </c>
      <c r="B315">
        <f>B314+('Rachford-Rice-Solution'!$M$29-'Rachford-Rice-Solution'!$L$29)/999</f>
        <v>0.39408609129271288</v>
      </c>
      <c r="C315" cm="1">
        <f t="array" ref="C315">RR_Eq('Rachford-Rice-Solution'!$B$29,'Rachford-Rice-Solution'!$C$29,'Rachford-Rice-Solution'!$D$29,'Rachford-Rice-Solution'!$E$29,B315)</f>
        <v>-0.9377035786129303</v>
      </c>
    </row>
    <row r="316" spans="1:3" x14ac:dyDescent="0.35">
      <c r="A316">
        <v>314</v>
      </c>
      <c r="B316">
        <f>B315+('Rachford-Rice-Solution'!$M$29-'Rachford-Rice-Solution'!$L$29)/999</f>
        <v>0.39535359644371015</v>
      </c>
      <c r="C316" cm="1">
        <f t="array" ref="C316">RR_Eq('Rachford-Rice-Solution'!$B$29,'Rachford-Rice-Solution'!$C$29,'Rachford-Rice-Solution'!$D$29,'Rachford-Rice-Solution'!$E$29,B316)</f>
        <v>-0.9397446291558984</v>
      </c>
    </row>
    <row r="317" spans="1:3" x14ac:dyDescent="0.35">
      <c r="A317">
        <v>315</v>
      </c>
      <c r="B317">
        <f>B316+('Rachford-Rice-Solution'!$M$29-'Rachford-Rice-Solution'!$L$29)/999</f>
        <v>0.39662110159470743</v>
      </c>
      <c r="C317" cm="1">
        <f t="array" ref="C317">RR_Eq('Rachford-Rice-Solution'!$B$29,'Rachford-Rice-Solution'!$C$29,'Rachford-Rice-Solution'!$D$29,'Rachford-Rice-Solution'!$E$29,B317)</f>
        <v>-0.94178733884412313</v>
      </c>
    </row>
    <row r="318" spans="1:3" x14ac:dyDescent="0.35">
      <c r="A318">
        <v>316</v>
      </c>
      <c r="B318">
        <f>B317+('Rachford-Rice-Solution'!$M$29-'Rachford-Rice-Solution'!$L$29)/999</f>
        <v>0.3978886067457047</v>
      </c>
      <c r="C318" cm="1">
        <f t="array" ref="C318">RR_Eq('Rachford-Rice-Solution'!$B$29,'Rachford-Rice-Solution'!$C$29,'Rachford-Rice-Solution'!$D$29,'Rachford-Rice-Solution'!$E$29,B318)</f>
        <v>-0.94383175596801605</v>
      </c>
    </row>
    <row r="319" spans="1:3" x14ac:dyDescent="0.35">
      <c r="A319">
        <v>317</v>
      </c>
      <c r="B319">
        <f>B318+('Rachford-Rice-Solution'!$M$29-'Rachford-Rice-Solution'!$L$29)/999</f>
        <v>0.39915611189670197</v>
      </c>
      <c r="C319" cm="1">
        <f t="array" ref="C319">RR_Eq('Rachford-Rice-Solution'!$B$29,'Rachford-Rice-Solution'!$C$29,'Rachford-Rice-Solution'!$D$29,'Rachford-Rice-Solution'!$E$29,B319)</f>
        <v>-0.94587792858088404</v>
      </c>
    </row>
    <row r="320" spans="1:3" x14ac:dyDescent="0.35">
      <c r="A320">
        <v>318</v>
      </c>
      <c r="B320">
        <f>B319+('Rachford-Rice-Solution'!$M$29-'Rachford-Rice-Solution'!$L$29)/999</f>
        <v>0.40042361704769924</v>
      </c>
      <c r="C320" cm="1">
        <f t="array" ref="C320">RR_Eq('Rachford-Rice-Solution'!$B$29,'Rachford-Rice-Solution'!$C$29,'Rachford-Rice-Solution'!$D$29,'Rachford-Rice-Solution'!$E$29,B320)</f>
        <v>-0.94792590450540404</v>
      </c>
    </row>
    <row r="321" spans="1:3" x14ac:dyDescent="0.35">
      <c r="A321">
        <v>319</v>
      </c>
      <c r="B321">
        <f>B320+('Rachford-Rice-Solution'!$M$29-'Rachford-Rice-Solution'!$L$29)/999</f>
        <v>0.40169112219869652</v>
      </c>
      <c r="C321" cm="1">
        <f t="array" ref="C321">RR_Eq('Rachford-Rice-Solution'!$B$29,'Rachford-Rice-Solution'!$C$29,'Rachford-Rice-Solution'!$D$29,'Rachford-Rice-Solution'!$E$29,B321)</f>
        <v>-0.94997573133999924</v>
      </c>
    </row>
    <row r="322" spans="1:3" x14ac:dyDescent="0.35">
      <c r="A322">
        <v>320</v>
      </c>
      <c r="B322">
        <f>B321+('Rachford-Rice-Solution'!$M$29-'Rachford-Rice-Solution'!$L$29)/999</f>
        <v>0.40295862734969379</v>
      </c>
      <c r="C322" cm="1">
        <f t="array" ref="C322">RR_Eq('Rachford-Rice-Solution'!$B$29,'Rachford-Rice-Solution'!$C$29,'Rachford-Rice-Solution'!$D$29,'Rachford-Rice-Solution'!$E$29,B322)</f>
        <v>-0.95202745646512033</v>
      </c>
    </row>
    <row r="323" spans="1:3" x14ac:dyDescent="0.35">
      <c r="A323">
        <v>321</v>
      </c>
      <c r="B323">
        <f>B322+('Rachford-Rice-Solution'!$M$29-'Rachford-Rice-Solution'!$L$29)/999</f>
        <v>0.40422613250069106</v>
      </c>
      <c r="C323" cm="1">
        <f t="array" ref="C323">RR_Eq('Rachford-Rice-Solution'!$B$29,'Rachford-Rice-Solution'!$C$29,'Rachford-Rice-Solution'!$D$29,'Rachford-Rice-Solution'!$E$29,B323)</f>
        <v>-0.95408112704943004</v>
      </c>
    </row>
    <row r="324" spans="1:3" x14ac:dyDescent="0.35">
      <c r="A324">
        <v>322</v>
      </c>
      <c r="B324">
        <f>B323+('Rachford-Rice-Solution'!$M$29-'Rachford-Rice-Solution'!$L$29)/999</f>
        <v>0.40549363765168833</v>
      </c>
      <c r="C324" cm="1">
        <f t="array" ref="C324">RR_Eq('Rachford-Rice-Solution'!$B$29,'Rachford-Rice-Solution'!$C$29,'Rachford-Rice-Solution'!$D$29,'Rachford-Rice-Solution'!$E$29,B324)</f>
        <v>-0.95613679005590213</v>
      </c>
    </row>
    <row r="325" spans="1:3" x14ac:dyDescent="0.35">
      <c r="A325">
        <v>323</v>
      </c>
      <c r="B325">
        <f>B324+('Rachford-Rice-Solution'!$M$29-'Rachford-Rice-Solution'!$L$29)/999</f>
        <v>0.4067611428026856</v>
      </c>
      <c r="C325" cm="1">
        <f t="array" ref="C325">RR_Eq('Rachford-Rice-Solution'!$B$29,'Rachford-Rice-Solution'!$C$29,'Rachford-Rice-Solution'!$D$29,'Rachford-Rice-Solution'!$E$29,B325)</f>
        <v>-0.95819449224782671</v>
      </c>
    </row>
    <row r="326" spans="1:3" x14ac:dyDescent="0.35">
      <c r="A326">
        <v>324</v>
      </c>
      <c r="B326">
        <f>B325+('Rachford-Rice-Solution'!$M$29-'Rachford-Rice-Solution'!$L$29)/999</f>
        <v>0.40802864795368288</v>
      </c>
      <c r="C326" cm="1">
        <f t="array" ref="C326">RR_Eq('Rachford-Rice-Solution'!$B$29,'Rachford-Rice-Solution'!$C$29,'Rachford-Rice-Solution'!$D$29,'Rachford-Rice-Solution'!$E$29,B326)</f>
        <v>-0.96025428019473025</v>
      </c>
    </row>
    <row r="327" spans="1:3" x14ac:dyDescent="0.35">
      <c r="A327">
        <v>325</v>
      </c>
      <c r="B327">
        <f>B326+('Rachford-Rice-Solution'!$M$29-'Rachford-Rice-Solution'!$L$29)/999</f>
        <v>0.40929615310468015</v>
      </c>
      <c r="C327" cm="1">
        <f t="array" ref="C327">RR_Eq('Rachford-Rice-Solution'!$B$29,'Rachford-Rice-Solution'!$C$29,'Rachford-Rice-Solution'!$D$29,'Rachford-Rice-Solution'!$E$29,B327)</f>
        <v>-0.96231620027821363</v>
      </c>
    </row>
    <row r="328" spans="1:3" x14ac:dyDescent="0.35">
      <c r="A328">
        <v>326</v>
      </c>
      <c r="B328">
        <f>B327+('Rachford-Rice-Solution'!$M$29-'Rachford-Rice-Solution'!$L$29)/999</f>
        <v>0.41056365825567742</v>
      </c>
      <c r="C328" cm="1">
        <f t="array" ref="C328">RR_Eq('Rachford-Rice-Solution'!$B$29,'Rachford-Rice-Solution'!$C$29,'Rachford-Rice-Solution'!$D$29,'Rachford-Rice-Solution'!$E$29,B328)</f>
        <v>-0.9643802986977017</v>
      </c>
    </row>
    <row r="329" spans="1:3" x14ac:dyDescent="0.35">
      <c r="A329">
        <v>327</v>
      </c>
      <c r="B329">
        <f>B328+('Rachford-Rice-Solution'!$M$29-'Rachford-Rice-Solution'!$L$29)/999</f>
        <v>0.41183116340667469</v>
      </c>
      <c r="C329" cm="1">
        <f t="array" ref="C329">RR_Eq('Rachford-Rice-Solution'!$B$29,'Rachford-Rice-Solution'!$C$29,'Rachford-Rice-Solution'!$D$29,'Rachford-Rice-Solution'!$E$29,B329)</f>
        <v>-0.96644662147612037</v>
      </c>
    </row>
    <row r="330" spans="1:3" x14ac:dyDescent="0.35">
      <c r="A330">
        <v>328</v>
      </c>
      <c r="B330">
        <f>B329+('Rachford-Rice-Solution'!$M$29-'Rachford-Rice-Solution'!$L$29)/999</f>
        <v>0.41309866855767197</v>
      </c>
      <c r="C330" cm="1">
        <f t="array" ref="C330">RR_Eq('Rachford-Rice-Solution'!$B$29,'Rachford-Rice-Solution'!$C$29,'Rachford-Rice-Solution'!$D$29,'Rachford-Rice-Solution'!$E$29,B330)</f>
        <v>-0.96851521446548772</v>
      </c>
    </row>
    <row r="331" spans="1:3" x14ac:dyDescent="0.35">
      <c r="A331">
        <v>329</v>
      </c>
      <c r="B331">
        <f>B330+('Rachford-Rice-Solution'!$M$29-'Rachford-Rice-Solution'!$L$29)/999</f>
        <v>0.41436617370866924</v>
      </c>
      <c r="C331" cm="1">
        <f t="array" ref="C331">RR_Eq('Rachford-Rice-Solution'!$B$29,'Rachford-Rice-Solution'!$C$29,'Rachford-Rice-Solution'!$D$29,'Rachford-Rice-Solution'!$E$29,B331)</f>
        <v>-0.97058612335243355</v>
      </c>
    </row>
    <row r="332" spans="1:3" x14ac:dyDescent="0.35">
      <c r="A332">
        <v>330</v>
      </c>
      <c r="B332">
        <f>B331+('Rachford-Rice-Solution'!$M$29-'Rachford-Rice-Solution'!$L$29)/999</f>
        <v>0.41563367885966651</v>
      </c>
      <c r="C332" cm="1">
        <f t="array" ref="C332">RR_Eq('Rachford-Rice-Solution'!$B$29,'Rachford-Rice-Solution'!$C$29,'Rachford-Rice-Solution'!$D$29,'Rachford-Rice-Solution'!$E$29,B332)</f>
        <v>-0.97265939366364262</v>
      </c>
    </row>
    <row r="333" spans="1:3" x14ac:dyDescent="0.35">
      <c r="A333">
        <v>331</v>
      </c>
      <c r="B333">
        <f>B332+('Rachford-Rice-Solution'!$M$29-'Rachford-Rice-Solution'!$L$29)/999</f>
        <v>0.41690118401066378</v>
      </c>
      <c r="C333" cm="1">
        <f t="array" ref="C333">RR_Eq('Rachford-Rice-Solution'!$B$29,'Rachford-Rice-Solution'!$C$29,'Rachford-Rice-Solution'!$D$29,'Rachford-Rice-Solution'!$E$29,B333)</f>
        <v>-0.97473507077122323</v>
      </c>
    </row>
    <row r="334" spans="1:3" x14ac:dyDescent="0.35">
      <c r="A334">
        <v>332</v>
      </c>
      <c r="B334">
        <f>B333+('Rachford-Rice-Solution'!$M$29-'Rachford-Rice-Solution'!$L$29)/999</f>
        <v>0.41816868916166106</v>
      </c>
      <c r="C334" cm="1">
        <f t="array" ref="C334">RR_Eq('Rachford-Rice-Solution'!$B$29,'Rachford-Rice-Solution'!$C$29,'Rachford-Rice-Solution'!$D$29,'Rachford-Rice-Solution'!$E$29,B334)</f>
        <v>-0.97681319989801041</v>
      </c>
    </row>
    <row r="335" spans="1:3" x14ac:dyDescent="0.35">
      <c r="A335">
        <v>333</v>
      </c>
      <c r="B335">
        <f>B334+('Rachford-Rice-Solution'!$M$29-'Rachford-Rice-Solution'!$L$29)/999</f>
        <v>0.41943619431265833</v>
      </c>
      <c r="C335" cm="1">
        <f t="array" ref="C335">RR_Eq('Rachford-Rice-Solution'!$B$29,'Rachford-Rice-Solution'!$C$29,'Rachford-Rice-Solution'!$D$29,'Rachford-Rice-Solution'!$E$29,B335)</f>
        <v>-0.97889382612279197</v>
      </c>
    </row>
    <row r="336" spans="1:3" x14ac:dyDescent="0.35">
      <c r="A336">
        <v>334</v>
      </c>
      <c r="B336">
        <f>B335+('Rachford-Rice-Solution'!$M$29-'Rachford-Rice-Solution'!$L$29)/999</f>
        <v>0.4207036994636556</v>
      </c>
      <c r="C336" cm="1">
        <f t="array" ref="C336">RR_Eq('Rachford-Rice-Solution'!$B$29,'Rachford-Rice-Solution'!$C$29,'Rachford-Rice-Solution'!$D$29,'Rachford-Rice-Solution'!$E$29,B336)</f>
        <v>-0.98097699438547481</v>
      </c>
    </row>
    <row r="337" spans="1:3" x14ac:dyDescent="0.35">
      <c r="A337">
        <v>335</v>
      </c>
      <c r="B337">
        <f>B336+('Rachford-Rice-Solution'!$M$29-'Rachford-Rice-Solution'!$L$29)/999</f>
        <v>0.42197120461465287</v>
      </c>
      <c r="C337" cm="1">
        <f t="array" ref="C337">RR_Eq('Rachford-Rice-Solution'!$B$29,'Rachford-Rice-Solution'!$C$29,'Rachford-Rice-Solution'!$D$29,'Rachford-Rice-Solution'!$E$29,B337)</f>
        <v>-0.9830627494921802</v>
      </c>
    </row>
    <row r="338" spans="1:3" x14ac:dyDescent="0.35">
      <c r="A338">
        <v>336</v>
      </c>
      <c r="B338">
        <f>B337+('Rachford-Rice-Solution'!$M$29-'Rachford-Rice-Solution'!$L$29)/999</f>
        <v>0.42323870976565015</v>
      </c>
      <c r="C338" cm="1">
        <f t="array" ref="C338">RR_Eq('Rachford-Rice-Solution'!$B$29,'Rachford-Rice-Solution'!$C$29,'Rachford-Rice-Solution'!$D$29,'Rachford-Rice-Solution'!$E$29,B338)</f>
        <v>-0.98515113612027672</v>
      </c>
    </row>
    <row r="339" spans="1:3" x14ac:dyDescent="0.35">
      <c r="A339">
        <v>337</v>
      </c>
      <c r="B339">
        <f>B338+('Rachford-Rice-Solution'!$M$29-'Rachford-Rice-Solution'!$L$29)/999</f>
        <v>0.42450621491664742</v>
      </c>
      <c r="C339" cm="1">
        <f t="array" ref="C339">RR_Eq('Rachford-Rice-Solution'!$B$29,'Rachford-Rice-Solution'!$C$29,'Rachford-Rice-Solution'!$D$29,'Rachford-Rice-Solution'!$E$29,B339)</f>
        <v>-0.98724219882335296</v>
      </c>
    </row>
    <row r="340" spans="1:3" x14ac:dyDescent="0.35">
      <c r="A340">
        <v>338</v>
      </c>
      <c r="B340">
        <f>B339+('Rachford-Rice-Solution'!$M$29-'Rachford-Rice-Solution'!$L$29)/999</f>
        <v>0.42577372006764469</v>
      </c>
      <c r="C340" cm="1">
        <f t="array" ref="C340">RR_Eq('Rachford-Rice-Solution'!$B$29,'Rachford-Rice-Solution'!$C$29,'Rachford-Rice-Solution'!$D$29,'Rachford-Rice-Solution'!$E$29,B340)</f>
        <v>-0.9893359820361235</v>
      </c>
    </row>
    <row r="341" spans="1:3" x14ac:dyDescent="0.35">
      <c r="A341">
        <v>339</v>
      </c>
      <c r="B341">
        <f>B340+('Rachford-Rice-Solution'!$M$29-'Rachford-Rice-Solution'!$L$29)/999</f>
        <v>0.42704122521864196</v>
      </c>
      <c r="C341" cm="1">
        <f t="array" ref="C341">RR_Eq('Rachford-Rice-Solution'!$B$29,'Rachford-Rice-Solution'!$C$29,'Rachford-Rice-Solution'!$D$29,'Rachford-Rice-Solution'!$E$29,B341)</f>
        <v>-0.991432530079283</v>
      </c>
    </row>
    <row r="342" spans="1:3" x14ac:dyDescent="0.35">
      <c r="A342">
        <v>340</v>
      </c>
      <c r="B342">
        <f>B341+('Rachford-Rice-Solution'!$M$29-'Rachford-Rice-Solution'!$L$29)/999</f>
        <v>0.42830873036963923</v>
      </c>
      <c r="C342" cm="1">
        <f t="array" ref="C342">RR_Eq('Rachford-Rice-Solution'!$B$29,'Rachford-Rice-Solution'!$C$29,'Rachford-Rice-Solution'!$D$29,'Rachford-Rice-Solution'!$E$29,B342)</f>
        <v>-0.99353188716429575</v>
      </c>
    </row>
    <row r="343" spans="1:3" x14ac:dyDescent="0.35">
      <c r="A343">
        <v>341</v>
      </c>
      <c r="B343">
        <f>B342+('Rachford-Rice-Solution'!$M$29-'Rachford-Rice-Solution'!$L$29)/999</f>
        <v>0.42957623552063651</v>
      </c>
      <c r="C343" cm="1">
        <f t="array" ref="C343">RR_Eq('Rachford-Rice-Solution'!$B$29,'Rachford-Rice-Solution'!$C$29,'Rachford-Rice-Solution'!$D$29,'Rachford-Rice-Solution'!$E$29,B343)</f>
        <v>-0.99563409739813347</v>
      </c>
    </row>
    <row r="344" spans="1:3" x14ac:dyDescent="0.35">
      <c r="A344">
        <v>342</v>
      </c>
      <c r="B344">
        <f>B343+('Rachford-Rice-Solution'!$M$29-'Rachford-Rice-Solution'!$L$29)/999</f>
        <v>0.43084374067163378</v>
      </c>
      <c r="C344" cm="1">
        <f t="array" ref="C344">RR_Eq('Rachford-Rice-Solution'!$B$29,'Rachford-Rice-Solution'!$C$29,'Rachford-Rice-Solution'!$D$29,'Rachford-Rice-Solution'!$E$29,B344)</f>
        <v>-0.99773920478795664</v>
      </c>
    </row>
    <row r="345" spans="1:3" x14ac:dyDescent="0.35">
      <c r="A345">
        <v>343</v>
      </c>
      <c r="B345">
        <f>B344+('Rachford-Rice-Solution'!$M$29-'Rachford-Rice-Solution'!$L$29)/999</f>
        <v>0.43211124582263105</v>
      </c>
      <c r="C345" cm="1">
        <f t="array" ref="C345">RR_Eq('Rachford-Rice-Solution'!$B$29,'Rachford-Rice-Solution'!$C$29,'Rachford-Rice-Solution'!$D$29,'Rachford-Rice-Solution'!$E$29,B345)</f>
        <v>-0.9998472532457402</v>
      </c>
    </row>
    <row r="346" spans="1:3" x14ac:dyDescent="0.35">
      <c r="A346">
        <v>344</v>
      </c>
      <c r="B346">
        <f>B345+('Rachford-Rice-Solution'!$M$29-'Rachford-Rice-Solution'!$L$29)/999</f>
        <v>0.43337875097362832</v>
      </c>
      <c r="C346" cm="1">
        <f t="array" ref="C346">RR_Eq('Rachford-Rice-Solution'!$B$29,'Rachford-Rice-Solution'!$C$29,'Rachford-Rice-Solution'!$D$29,'Rachford-Rice-Solution'!$E$29,B346)</f>
        <v>-1.0019582865928529</v>
      </c>
    </row>
    <row r="347" spans="1:3" x14ac:dyDescent="0.35">
      <c r="A347">
        <v>345</v>
      </c>
      <c r="B347">
        <f>B346+('Rachford-Rice-Solution'!$M$29-'Rachford-Rice-Solution'!$L$29)/999</f>
        <v>0.4346462561246256</v>
      </c>
      <c r="C347" cm="1">
        <f t="array" ref="C347">RR_Eq('Rachford-Rice-Solution'!$B$29,'Rachford-Rice-Solution'!$C$29,'Rachford-Rice-Solution'!$D$29,'Rachford-Rice-Solution'!$E$29,B347)</f>
        <v>-1.0040723485645791</v>
      </c>
    </row>
    <row r="348" spans="1:3" x14ac:dyDescent="0.35">
      <c r="A348">
        <v>346</v>
      </c>
      <c r="B348">
        <f>B347+('Rachford-Rice-Solution'!$M$29-'Rachford-Rice-Solution'!$L$29)/999</f>
        <v>0.43591376127562287</v>
      </c>
      <c r="C348" cm="1">
        <f t="array" ref="C348">RR_Eq('Rachford-Rice-Solution'!$B$29,'Rachford-Rice-Solution'!$C$29,'Rachford-Rice-Solution'!$D$29,'Rachford-Rice-Solution'!$E$29,B348)</f>
        <v>-1.0061894828145959</v>
      </c>
    </row>
    <row r="349" spans="1:3" x14ac:dyDescent="0.35">
      <c r="A349">
        <v>347</v>
      </c>
      <c r="B349">
        <f>B348+('Rachford-Rice-Solution'!$M$29-'Rachford-Rice-Solution'!$L$29)/999</f>
        <v>0.43718126642662014</v>
      </c>
      <c r="C349" cm="1">
        <f t="array" ref="C349">RR_Eq('Rachford-Rice-Solution'!$B$29,'Rachford-Rice-Solution'!$C$29,'Rachford-Rice-Solution'!$D$29,'Rachford-Rice-Solution'!$E$29,B349)</f>
        <v>-1.0083097329194004</v>
      </c>
    </row>
    <row r="350" spans="1:3" x14ac:dyDescent="0.35">
      <c r="A350">
        <v>348</v>
      </c>
      <c r="B350">
        <f>B349+('Rachford-Rice-Solution'!$M$29-'Rachford-Rice-Solution'!$L$29)/999</f>
        <v>0.43844877157761741</v>
      </c>
      <c r="C350" cm="1">
        <f t="array" ref="C350">RR_Eq('Rachford-Rice-Solution'!$B$29,'Rachford-Rice-Solution'!$C$29,'Rachford-Rice-Solution'!$D$29,'Rachford-Rice-Solution'!$E$29,B350)</f>
        <v>-1.010433142382692</v>
      </c>
    </row>
    <row r="351" spans="1:3" x14ac:dyDescent="0.35">
      <c r="A351">
        <v>349</v>
      </c>
      <c r="B351">
        <f>B350+('Rachford-Rice-Solution'!$M$29-'Rachford-Rice-Solution'!$L$29)/999</f>
        <v>0.43971627672861469</v>
      </c>
      <c r="C351" cm="1">
        <f t="array" ref="C351">RR_Eq('Rachford-Rice-Solution'!$B$29,'Rachford-Rice-Solution'!$C$29,'Rachford-Rice-Solution'!$D$29,'Rachford-Rice-Solution'!$E$29,B351)</f>
        <v>-1.0125597546397058</v>
      </c>
    </row>
    <row r="352" spans="1:3" x14ac:dyDescent="0.35">
      <c r="A352">
        <v>350</v>
      </c>
      <c r="B352">
        <f>B351+('Rachford-Rice-Solution'!$M$29-'Rachford-Rice-Solution'!$L$29)/999</f>
        <v>0.44098378187961196</v>
      </c>
      <c r="C352" cm="1">
        <f t="array" ref="C352">RR_Eq('Rachford-Rice-Solution'!$B$29,'Rachford-Rice-Solution'!$C$29,'Rachford-Rice-Solution'!$D$29,'Rachford-Rice-Solution'!$E$29,B352)</f>
        <v>-1.0146896130615048</v>
      </c>
    </row>
    <row r="353" spans="1:3" x14ac:dyDescent="0.35">
      <c r="A353">
        <v>351</v>
      </c>
      <c r="B353">
        <f>B352+('Rachford-Rice-Solution'!$M$29-'Rachford-Rice-Solution'!$L$29)/999</f>
        <v>0.44225128703060923</v>
      </c>
      <c r="C353" cm="1">
        <f t="array" ref="C353">RR_Eq('Rachford-Rice-Solution'!$B$29,'Rachford-Rice-Solution'!$C$29,'Rachford-Rice-Solution'!$D$29,'Rachford-Rice-Solution'!$E$29,B353)</f>
        <v>-1.016822760959228</v>
      </c>
    </row>
    <row r="354" spans="1:3" x14ac:dyDescent="0.35">
      <c r="A354">
        <v>352</v>
      </c>
      <c r="B354">
        <f>B353+('Rachford-Rice-Solution'!$M$29-'Rachford-Rice-Solution'!$L$29)/999</f>
        <v>0.4435187921816065</v>
      </c>
      <c r="C354" cm="1">
        <f t="array" ref="C354">RR_Eq('Rachford-Rice-Solution'!$B$29,'Rachford-Rice-Solution'!$C$29,'Rachford-Rice-Solution'!$D$29,'Rachford-Rice-Solution'!$E$29,B354)</f>
        <v>-1.0189592415882969</v>
      </c>
    </row>
    <row r="355" spans="1:3" x14ac:dyDescent="0.35">
      <c r="A355">
        <v>353</v>
      </c>
      <c r="B355">
        <f>B354+('Rachford-Rice-Solution'!$M$29-'Rachford-Rice-Solution'!$L$29)/999</f>
        <v>0.44478629733260377</v>
      </c>
      <c r="C355" cm="1">
        <f t="array" ref="C355">RR_Eq('Rachford-Rice-Solution'!$B$29,'Rachford-Rice-Solution'!$C$29,'Rachford-Rice-Solution'!$D$29,'Rachford-Rice-Solution'!$E$29,B355)</f>
        <v>-1.02109909815258</v>
      </c>
    </row>
    <row r="356" spans="1:3" x14ac:dyDescent="0.35">
      <c r="A356">
        <v>354</v>
      </c>
      <c r="B356">
        <f>B355+('Rachford-Rice-Solution'!$M$29-'Rachford-Rice-Solution'!$L$29)/999</f>
        <v>0.44605380248360105</v>
      </c>
      <c r="C356" cm="1">
        <f t="array" ref="C356">RR_Eq('Rachford-Rice-Solution'!$B$29,'Rachford-Rice-Solution'!$C$29,'Rachford-Rice-Solution'!$D$29,'Rachford-Rice-Solution'!$E$29,B356)</f>
        <v>-1.023242373808521</v>
      </c>
    </row>
    <row r="357" spans="1:3" x14ac:dyDescent="0.35">
      <c r="A357">
        <v>355</v>
      </c>
      <c r="B357">
        <f>B356+('Rachford-Rice-Solution'!$M$29-'Rachford-Rice-Solution'!$L$29)/999</f>
        <v>0.44732130763459832</v>
      </c>
      <c r="C357" cm="1">
        <f t="array" ref="C357">RR_Eq('Rachford-Rice-Solution'!$B$29,'Rachford-Rice-Solution'!$C$29,'Rachford-Rice-Solution'!$D$29,'Rachford-Rice-Solution'!$E$29,B357)</f>
        <v>-1.0253891116692233</v>
      </c>
    </row>
    <row r="358" spans="1:3" x14ac:dyDescent="0.35">
      <c r="A358">
        <v>356</v>
      </c>
      <c r="B358">
        <f>B357+('Rachford-Rice-Solution'!$M$29-'Rachford-Rice-Solution'!$L$29)/999</f>
        <v>0.44858881278559559</v>
      </c>
      <c r="C358" cm="1">
        <f t="array" ref="C358">RR_Eq('Rachford-Rice-Solution'!$B$29,'Rachford-Rice-Solution'!$C$29,'Rachford-Rice-Solution'!$D$29,'Rachford-Rice-Solution'!$E$29,B358)</f>
        <v>-1.0275393548085034</v>
      </c>
    </row>
    <row r="359" spans="1:3" x14ac:dyDescent="0.35">
      <c r="A359">
        <v>357</v>
      </c>
      <c r="B359">
        <f>B358+('Rachford-Rice-Solution'!$M$29-'Rachford-Rice-Solution'!$L$29)/999</f>
        <v>0.44985631793659286</v>
      </c>
      <c r="C359" cm="1">
        <f t="array" ref="C359">RR_Eq('Rachford-Rice-Solution'!$B$29,'Rachford-Rice-Solution'!$C$29,'Rachford-Rice-Solution'!$D$29,'Rachford-Rice-Solution'!$E$29,B359)</f>
        <v>-1.0296931462649026</v>
      </c>
    </row>
    <row r="360" spans="1:3" x14ac:dyDescent="0.35">
      <c r="A360">
        <v>358</v>
      </c>
      <c r="B360">
        <f>B359+('Rachford-Rice-Solution'!$M$29-'Rachford-Rice-Solution'!$L$29)/999</f>
        <v>0.45112382308759014</v>
      </c>
      <c r="C360" cm="1">
        <f t="array" ref="C360">RR_Eq('Rachford-Rice-Solution'!$B$29,'Rachford-Rice-Solution'!$C$29,'Rachford-Rice-Solution'!$D$29,'Rachford-Rice-Solution'!$E$29,B360)</f>
        <v>-1.0318505290456672</v>
      </c>
    </row>
    <row r="361" spans="1:3" x14ac:dyDescent="0.35">
      <c r="A361">
        <v>359</v>
      </c>
      <c r="B361">
        <f>B360+('Rachford-Rice-Solution'!$M$29-'Rachford-Rice-Solution'!$L$29)/999</f>
        <v>0.45239132823858741</v>
      </c>
      <c r="C361" cm="1">
        <f t="array" ref="C361">RR_Eq('Rachford-Rice-Solution'!$B$29,'Rachford-Rice-Solution'!$C$29,'Rachford-Rice-Solution'!$D$29,'Rachford-Rice-Solution'!$E$29,B361)</f>
        <v>-1.034011546130692</v>
      </c>
    </row>
    <row r="362" spans="1:3" x14ac:dyDescent="0.35">
      <c r="A362">
        <v>360</v>
      </c>
      <c r="B362">
        <f>B361+('Rachford-Rice-Solution'!$M$29-'Rachford-Rice-Solution'!$L$29)/999</f>
        <v>0.45365883338958468</v>
      </c>
      <c r="C362" cm="1">
        <f t="array" ref="C362">RR_Eq('Rachford-Rice-Solution'!$B$29,'Rachford-Rice-Solution'!$C$29,'Rachford-Rice-Solution'!$D$29,'Rachford-Rice-Solution'!$E$29,B362)</f>
        <v>-1.0361762404764328</v>
      </c>
    </row>
    <row r="363" spans="1:3" x14ac:dyDescent="0.35">
      <c r="A363">
        <v>361</v>
      </c>
      <c r="B363">
        <f>B362+('Rachford-Rice-Solution'!$M$29-'Rachford-Rice-Solution'!$L$29)/999</f>
        <v>0.45492633854058195</v>
      </c>
      <c r="C363" cm="1">
        <f t="array" ref="C363">RR_Eq('Rachford-Rice-Solution'!$B$29,'Rachford-Rice-Solution'!$C$29,'Rachford-Rice-Solution'!$D$29,'Rachford-Rice-Solution'!$E$29,B363)</f>
        <v>-1.0383446550197857</v>
      </c>
    </row>
    <row r="364" spans="1:3" x14ac:dyDescent="0.35">
      <c r="A364">
        <v>362</v>
      </c>
      <c r="B364">
        <f>B363+('Rachford-Rice-Solution'!$M$29-'Rachford-Rice-Solution'!$L$29)/999</f>
        <v>0.45619384369157923</v>
      </c>
      <c r="C364" cm="1">
        <f t="array" ref="C364">RR_Eq('Rachford-Rice-Solution'!$B$29,'Rachford-Rice-Solution'!$C$29,'Rachford-Rice-Solution'!$D$29,'Rachford-Rice-Solution'!$E$29,B364)</f>
        <v>-1.0405168326819343</v>
      </c>
    </row>
    <row r="365" spans="1:3" x14ac:dyDescent="0.35">
      <c r="A365">
        <v>363</v>
      </c>
      <c r="B365">
        <f>B364+('Rachford-Rice-Solution'!$M$29-'Rachford-Rice-Solution'!$L$29)/999</f>
        <v>0.4574613488425765</v>
      </c>
      <c r="C365" cm="1">
        <f t="array" ref="C365">RR_Eq('Rachford-Rice-Solution'!$B$29,'Rachford-Rice-Solution'!$C$29,'Rachford-Rice-Solution'!$D$29,'Rachford-Rice-Solution'!$E$29,B365)</f>
        <v>-1.0426928163721694</v>
      </c>
    </row>
    <row r="366" spans="1:3" x14ac:dyDescent="0.35">
      <c r="A366">
        <v>364</v>
      </c>
      <c r="B366">
        <f>B365+('Rachford-Rice-Solution'!$M$29-'Rachford-Rice-Solution'!$L$29)/999</f>
        <v>0.45872885399357377</v>
      </c>
      <c r="C366" cm="1">
        <f t="array" ref="C366">RR_Eq('Rachford-Rice-Solution'!$B$29,'Rachford-Rice-Solution'!$C$29,'Rachford-Rice-Solution'!$D$29,'Rachford-Rice-Solution'!$E$29,B366)</f>
        <v>-1.0448726489916764</v>
      </c>
    </row>
    <row r="367" spans="1:3" x14ac:dyDescent="0.35">
      <c r="A367">
        <v>365</v>
      </c>
      <c r="B367">
        <f>B366+('Rachford-Rice-Solution'!$M$29-'Rachford-Rice-Solution'!$L$29)/999</f>
        <v>0.45999635914457104</v>
      </c>
      <c r="C367" cm="1">
        <f t="array" ref="C367">RR_Eq('Rachford-Rice-Solution'!$B$29,'Rachford-Rice-Solution'!$C$29,'Rachford-Rice-Solution'!$D$29,'Rachford-Rice-Solution'!$E$29,B367)</f>
        <v>-1.047056373437296</v>
      </c>
    </row>
    <row r="368" spans="1:3" x14ac:dyDescent="0.35">
      <c r="A368">
        <v>366</v>
      </c>
      <c r="B368">
        <f>B367+('Rachford-Rice-Solution'!$M$29-'Rachford-Rice-Solution'!$L$29)/999</f>
        <v>0.46126386429556832</v>
      </c>
      <c r="C368" cm="1">
        <f t="array" ref="C368">RR_Eq('Rachford-Rice-Solution'!$B$29,'Rachford-Rice-Solution'!$C$29,'Rachford-Rice-Solution'!$D$29,'Rachford-Rice-Solution'!$E$29,B368)</f>
        <v>-1.0492440326052588</v>
      </c>
    </row>
    <row r="369" spans="1:3" x14ac:dyDescent="0.35">
      <c r="A369">
        <v>367</v>
      </c>
      <c r="B369">
        <f>B368+('Rachford-Rice-Solution'!$M$29-'Rachford-Rice-Solution'!$L$29)/999</f>
        <v>0.46253136944656559</v>
      </c>
      <c r="C369" cm="1">
        <f t="array" ref="C369">RR_Eq('Rachford-Rice-Solution'!$B$29,'Rachford-Rice-Solution'!$C$29,'Rachford-Rice-Solution'!$D$29,'Rachford-Rice-Solution'!$E$29,B369)</f>
        <v>-1.0514356693948892</v>
      </c>
    </row>
    <row r="370" spans="1:3" x14ac:dyDescent="0.35">
      <c r="A370">
        <v>368</v>
      </c>
      <c r="B370">
        <f>B369+('Rachford-Rice-Solution'!$M$29-'Rachford-Rice-Solution'!$L$29)/999</f>
        <v>0.46379887459756286</v>
      </c>
      <c r="C370" cm="1">
        <f t="array" ref="C370">RR_Eq('Rachford-Rice-Solution'!$B$29,'Rachford-Rice-Solution'!$C$29,'Rachford-Rice-Solution'!$D$29,'Rachford-Rice-Solution'!$E$29,B370)</f>
        <v>-1.0536313267122903</v>
      </c>
    </row>
    <row r="371" spans="1:3" x14ac:dyDescent="0.35">
      <c r="A371">
        <v>369</v>
      </c>
      <c r="B371">
        <f>B370+('Rachford-Rice-Solution'!$M$29-'Rachford-Rice-Solution'!$L$29)/999</f>
        <v>0.46506637974856013</v>
      </c>
      <c r="C371" cm="1">
        <f t="array" ref="C371">RR_Eq('Rachford-Rice-Solution'!$B$29,'Rachford-Rice-Solution'!$C$29,'Rachford-Rice-Solution'!$D$29,'Rachford-Rice-Solution'!$E$29,B371)</f>
        <v>-1.0558310474739965</v>
      </c>
    </row>
    <row r="372" spans="1:3" x14ac:dyDescent="0.35">
      <c r="A372">
        <v>370</v>
      </c>
      <c r="B372">
        <f>B371+('Rachford-Rice-Solution'!$M$29-'Rachford-Rice-Solution'!$L$29)/999</f>
        <v>0.4663338848995574</v>
      </c>
      <c r="C372" cm="1">
        <f t="array" ref="C372">RR_Eq('Rachford-Rice-Solution'!$B$29,'Rachford-Rice-Solution'!$C$29,'Rachford-Rice-Solution'!$D$29,'Rachford-Rice-Solution'!$E$29,B372)</f>
        <v>-1.0580348746106081</v>
      </c>
    </row>
    <row r="373" spans="1:3" x14ac:dyDescent="0.35">
      <c r="A373">
        <v>371</v>
      </c>
      <c r="B373">
        <f>B372+('Rachford-Rice-Solution'!$M$29-'Rachford-Rice-Solution'!$L$29)/999</f>
        <v>0.46760139005055468</v>
      </c>
      <c r="C373" cm="1">
        <f t="array" ref="C373">RR_Eq('Rachford-Rice-Solution'!$B$29,'Rachford-Rice-Solution'!$C$29,'Rachford-Rice-Solution'!$D$29,'Rachford-Rice-Solution'!$E$29,B373)</f>
        <v>-1.0602428510704007</v>
      </c>
    </row>
    <row r="374" spans="1:3" x14ac:dyDescent="0.35">
      <c r="A374">
        <v>372</v>
      </c>
      <c r="B374">
        <f>B373+('Rachford-Rice-Solution'!$M$29-'Rachford-Rice-Solution'!$L$29)/999</f>
        <v>0.46886889520155195</v>
      </c>
      <c r="C374" cm="1">
        <f t="array" ref="C374">RR_Eq('Rachford-Rice-Solution'!$B$29,'Rachford-Rice-Solution'!$C$29,'Rachford-Rice-Solution'!$D$29,'Rachford-Rice-Solution'!$E$29,B374)</f>
        <v>-1.0624550198229119</v>
      </c>
    </row>
    <row r="375" spans="1:3" x14ac:dyDescent="0.35">
      <c r="A375">
        <v>373</v>
      </c>
      <c r="B375">
        <f>B374+('Rachford-Rice-Solution'!$M$29-'Rachford-Rice-Solution'!$L$29)/999</f>
        <v>0.47013640035254922</v>
      </c>
      <c r="C375" cm="1">
        <f t="array" ref="C375">RR_Eq('Rachford-Rice-Solution'!$B$29,'Rachford-Rice-Solution'!$C$29,'Rachford-Rice-Solution'!$D$29,'Rachford-Rice-Solution'!$E$29,B375)</f>
        <v>-1.0646714238625083</v>
      </c>
    </row>
    <row r="376" spans="1:3" x14ac:dyDescent="0.35">
      <c r="A376">
        <v>374</v>
      </c>
      <c r="B376">
        <f>B375+('Rachford-Rice-Solution'!$M$29-'Rachford-Rice-Solution'!$L$29)/999</f>
        <v>0.47140390550354649</v>
      </c>
      <c r="C376" cm="1">
        <f t="array" ref="C376">RR_Eq('Rachford-Rice-Solution'!$B$29,'Rachford-Rice-Solution'!$C$29,'Rachford-Rice-Solution'!$D$29,'Rachford-Rice-Solution'!$E$29,B376)</f>
        <v>-1.0668921062119299</v>
      </c>
    </row>
    <row r="377" spans="1:3" x14ac:dyDescent="0.35">
      <c r="A377">
        <v>375</v>
      </c>
      <c r="B377">
        <f>B376+('Rachford-Rice-Solution'!$M$29-'Rachford-Rice-Solution'!$L$29)/999</f>
        <v>0.47267141065454377</v>
      </c>
      <c r="C377" cm="1">
        <f t="array" ref="C377">RR_Eq('Rachford-Rice-Solution'!$B$29,'Rachford-Rice-Solution'!$C$29,'Rachford-Rice-Solution'!$D$29,'Rachford-Rice-Solution'!$E$29,B377)</f>
        <v>-1.0691171099258159</v>
      </c>
    </row>
    <row r="378" spans="1:3" x14ac:dyDescent="0.35">
      <c r="A378">
        <v>376</v>
      </c>
      <c r="B378">
        <f>B377+('Rachford-Rice-Solution'!$M$29-'Rachford-Rice-Solution'!$L$29)/999</f>
        <v>0.47393891580554104</v>
      </c>
      <c r="C378" cm="1">
        <f t="array" ref="C378">RR_Eq('Rachford-Rice-Solution'!$B$29,'Rachford-Rice-Solution'!$C$29,'Rachford-Rice-Solution'!$D$29,'Rachford-Rice-Solution'!$E$29,B378)</f>
        <v>-1.0713464780942128</v>
      </c>
    </row>
    <row r="379" spans="1:3" x14ac:dyDescent="0.35">
      <c r="A379">
        <v>377</v>
      </c>
      <c r="B379">
        <f>B378+('Rachford-Rice-Solution'!$M$29-'Rachford-Rice-Solution'!$L$29)/999</f>
        <v>0.47520642095653831</v>
      </c>
      <c r="C379" cm="1">
        <f t="array" ref="C379">RR_Eq('Rachford-Rice-Solution'!$B$29,'Rachford-Rice-Solution'!$C$29,'Rachford-Rice-Solution'!$D$29,'Rachford-Rice-Solution'!$E$29,B379)</f>
        <v>-1.0735802538460606</v>
      </c>
    </row>
    <row r="380" spans="1:3" x14ac:dyDescent="0.35">
      <c r="A380">
        <v>378</v>
      </c>
      <c r="B380">
        <f>B379+('Rachford-Rice-Solution'!$M$29-'Rachford-Rice-Solution'!$L$29)/999</f>
        <v>0.47647392610753558</v>
      </c>
      <c r="C380" cm="1">
        <f t="array" ref="C380">RR_Eq('Rachford-Rice-Solution'!$B$29,'Rachford-Rice-Solution'!$C$29,'Rachford-Rice-Solution'!$D$29,'Rachford-Rice-Solution'!$E$29,B380)</f>
        <v>-1.0758184803526674</v>
      </c>
    </row>
    <row r="381" spans="1:3" x14ac:dyDescent="0.35">
      <c r="A381">
        <v>379</v>
      </c>
      <c r="B381">
        <f>B380+('Rachford-Rice-Solution'!$M$29-'Rachford-Rice-Solution'!$L$29)/999</f>
        <v>0.47774143125853286</v>
      </c>
      <c r="C381" cm="1">
        <f t="array" ref="C381">RR_Eq('Rachford-Rice-Solution'!$B$29,'Rachford-Rice-Solution'!$C$29,'Rachford-Rice-Solution'!$D$29,'Rachford-Rice-Solution'!$E$29,B381)</f>
        <v>-1.078061200831159</v>
      </c>
    </row>
    <row r="382" spans="1:3" x14ac:dyDescent="0.35">
      <c r="A382">
        <v>380</v>
      </c>
      <c r="B382">
        <f>B381+('Rachford-Rice-Solution'!$M$29-'Rachford-Rice-Solution'!$L$29)/999</f>
        <v>0.47900893640953013</v>
      </c>
      <c r="C382" cm="1">
        <f t="array" ref="C382">RR_Eq('Rachford-Rice-Solution'!$B$29,'Rachford-Rice-Solution'!$C$29,'Rachford-Rice-Solution'!$D$29,'Rachford-Rice-Solution'!$E$29,B382)</f>
        <v>-1.0803084585479228</v>
      </c>
    </row>
    <row r="383" spans="1:3" x14ac:dyDescent="0.35">
      <c r="A383">
        <v>381</v>
      </c>
      <c r="B383">
        <f>B382+('Rachford-Rice-Solution'!$M$29-'Rachford-Rice-Solution'!$L$29)/999</f>
        <v>0.4802764415605274</v>
      </c>
      <c r="C383" cm="1">
        <f t="array" ref="C383">RR_Eq('Rachford-Rice-Solution'!$B$29,'Rachford-Rice-Solution'!$C$29,'Rachford-Rice-Solution'!$D$29,'Rachford-Rice-Solution'!$E$29,B383)</f>
        <v>-1.0825602968220269</v>
      </c>
    </row>
    <row r="384" spans="1:3" x14ac:dyDescent="0.35">
      <c r="A384">
        <v>382</v>
      </c>
      <c r="B384">
        <f>B383+('Rachford-Rice-Solution'!$M$29-'Rachford-Rice-Solution'!$L$29)/999</f>
        <v>0.48154394671152467</v>
      </c>
      <c r="C384" cm="1">
        <f t="array" ref="C384">RR_Eq('Rachford-Rice-Solution'!$B$29,'Rachford-Rice-Solution'!$C$29,'Rachford-Rice-Solution'!$D$29,'Rachford-Rice-Solution'!$E$29,B384)</f>
        <v>-1.0848167590286313</v>
      </c>
    </row>
    <row r="385" spans="1:3" x14ac:dyDescent="0.35">
      <c r="A385">
        <v>383</v>
      </c>
      <c r="B385">
        <f>B384+('Rachford-Rice-Solution'!$M$29-'Rachford-Rice-Solution'!$L$29)/999</f>
        <v>0.48281145186252195</v>
      </c>
      <c r="C385" cm="1">
        <f t="array" ref="C385">RR_Eq('Rachford-Rice-Solution'!$B$29,'Rachford-Rice-Solution'!$C$29,'Rachford-Rice-Solution'!$D$29,'Rachford-Rice-Solution'!$E$29,B385)</f>
        <v>-1.0870778886023815</v>
      </c>
    </row>
    <row r="386" spans="1:3" x14ac:dyDescent="0.35">
      <c r="A386">
        <v>384</v>
      </c>
      <c r="B386">
        <f>B385+('Rachford-Rice-Solution'!$M$29-'Rachford-Rice-Solution'!$L$29)/999</f>
        <v>0.48407895701351922</v>
      </c>
      <c r="C386" cm="1">
        <f t="array" ref="C386">RR_Eq('Rachford-Rice-Solution'!$B$29,'Rachford-Rice-Solution'!$C$29,'Rachford-Rice-Solution'!$D$29,'Rachford-Rice-Solution'!$E$29,B386)</f>
        <v>-1.0893437290407921</v>
      </c>
    </row>
    <row r="387" spans="1:3" x14ac:dyDescent="0.35">
      <c r="A387">
        <v>385</v>
      </c>
      <c r="B387">
        <f>B386+('Rachford-Rice-Solution'!$M$29-'Rachford-Rice-Solution'!$L$29)/999</f>
        <v>0.48534646216451649</v>
      </c>
      <c r="C387" cm="1">
        <f t="array" ref="C387">RR_Eq('Rachford-Rice-Solution'!$B$29,'Rachford-Rice-Solution'!$C$29,'Rachford-Rice-Solution'!$D$29,'Rachford-Rice-Solution'!$E$29,B387)</f>
        <v>-1.0916143239076148</v>
      </c>
    </row>
    <row r="388" spans="1:3" x14ac:dyDescent="0.35">
      <c r="A388">
        <v>386</v>
      </c>
      <c r="B388">
        <f>B387+('Rachford-Rice-Solution'!$M$29-'Rachford-Rice-Solution'!$L$29)/999</f>
        <v>0.48661396731551376</v>
      </c>
      <c r="C388" cm="1">
        <f t="array" ref="C388">RR_Eq('Rachford-Rice-Solution'!$B$29,'Rachford-Rice-Solution'!$C$29,'Rachford-Rice-Solution'!$D$29,'Rachford-Rice-Solution'!$E$29,B388)</f>
        <v>-1.0938897168361967</v>
      </c>
    </row>
    <row r="389" spans="1:3" x14ac:dyDescent="0.35">
      <c r="A389">
        <v>387</v>
      </c>
      <c r="B389">
        <f>B388+('Rachford-Rice-Solution'!$M$29-'Rachford-Rice-Solution'!$L$29)/999</f>
        <v>0.48788147246651103</v>
      </c>
      <c r="C389" cm="1">
        <f t="array" ref="C389">RR_Eq('Rachford-Rice-Solution'!$B$29,'Rachford-Rice-Solution'!$C$29,'Rachford-Rice-Solution'!$D$29,'Rachford-Rice-Solution'!$E$29,B389)</f>
        <v>-1.0961699515328287</v>
      </c>
    </row>
    <row r="390" spans="1:3" x14ac:dyDescent="0.35">
      <c r="A390">
        <v>388</v>
      </c>
      <c r="B390">
        <f>B389+('Rachford-Rice-Solution'!$M$29-'Rachford-Rice-Solution'!$L$29)/999</f>
        <v>0.48914897761750831</v>
      </c>
      <c r="C390" cm="1">
        <f t="array" ref="C390">RR_Eq('Rachford-Rice-Solution'!$B$29,'Rachford-Rice-Solution'!$C$29,'Rachford-Rice-Solution'!$D$29,'Rachford-Rice-Solution'!$E$29,B390)</f>
        <v>-1.0984550717800796</v>
      </c>
    </row>
    <row r="391" spans="1:3" x14ac:dyDescent="0.35">
      <c r="A391">
        <v>389</v>
      </c>
      <c r="B391">
        <f>B390+('Rachford-Rice-Solution'!$M$29-'Rachford-Rice-Solution'!$L$29)/999</f>
        <v>0.49041648276850558</v>
      </c>
      <c r="C391" cm="1">
        <f t="array" ref="C391">RR_Eq('Rachford-Rice-Solution'!$B$29,'Rachford-Rice-Solution'!$C$29,'Rachford-Rice-Solution'!$D$29,'Rachford-Rice-Solution'!$E$29,B391)</f>
        <v>-1.1007451214401245</v>
      </c>
    </row>
    <row r="392" spans="1:3" x14ac:dyDescent="0.35">
      <c r="A392">
        <v>390</v>
      </c>
      <c r="B392">
        <f>B391+('Rachford-Rice-Solution'!$M$29-'Rachford-Rice-Solution'!$L$29)/999</f>
        <v>0.49168398791950285</v>
      </c>
      <c r="C392" cm="1">
        <f t="array" ref="C392">RR_Eq('Rachford-Rice-Solution'!$B$29,'Rachford-Rice-Solution'!$C$29,'Rachford-Rice-Solution'!$D$29,'Rachford-Rice-Solution'!$E$29,B392)</f>
        <v>-1.1030401444580629</v>
      </c>
    </row>
    <row r="393" spans="1:3" x14ac:dyDescent="0.35">
      <c r="A393">
        <v>391</v>
      </c>
      <c r="B393">
        <f>B392+('Rachford-Rice-Solution'!$M$29-'Rachford-Rice-Solution'!$L$29)/999</f>
        <v>0.49295149307050012</v>
      </c>
      <c r="C393" cm="1">
        <f t="array" ref="C393">RR_Eq('Rachford-Rice-Solution'!$B$29,'Rachford-Rice-Solution'!$C$29,'Rachford-Rice-Solution'!$D$29,'Rachford-Rice-Solution'!$E$29,B393)</f>
        <v>-1.1053401848652269</v>
      </c>
    </row>
    <row r="394" spans="1:3" x14ac:dyDescent="0.35">
      <c r="A394">
        <v>392</v>
      </c>
      <c r="B394">
        <f>B393+('Rachford-Rice-Solution'!$M$29-'Rachford-Rice-Solution'!$L$29)/999</f>
        <v>0.4942189982214974</v>
      </c>
      <c r="C394" cm="1">
        <f t="array" ref="C394">RR_Eq('Rachford-Rice-Solution'!$B$29,'Rachford-Rice-Solution'!$C$29,'Rachford-Rice-Solution'!$D$29,'Rachford-Rice-Solution'!$E$29,B394)</f>
        <v>-1.107645286782484</v>
      </c>
    </row>
    <row r="395" spans="1:3" x14ac:dyDescent="0.35">
      <c r="A395">
        <v>393</v>
      </c>
      <c r="B395">
        <f>B394+('Rachford-Rice-Solution'!$M$29-'Rachford-Rice-Solution'!$L$29)/999</f>
        <v>0.49548650337249467</v>
      </c>
      <c r="C395" cm="1">
        <f t="array" ref="C395">RR_Eq('Rachford-Rice-Solution'!$B$29,'Rachford-Rice-Solution'!$C$29,'Rachford-Rice-Solution'!$D$29,'Rachford-Rice-Solution'!$E$29,B395)</f>
        <v>-1.1099554944235308</v>
      </c>
    </row>
    <row r="396" spans="1:3" x14ac:dyDescent="0.35">
      <c r="A396">
        <v>394</v>
      </c>
      <c r="B396">
        <f>B395+('Rachford-Rice-Solution'!$M$29-'Rachford-Rice-Solution'!$L$29)/999</f>
        <v>0.49675400852349194</v>
      </c>
      <c r="C396" cm="1">
        <f t="array" ref="C396">RR_Eq('Rachford-Rice-Solution'!$B$29,'Rachford-Rice-Solution'!$C$29,'Rachford-Rice-Solution'!$D$29,'Rachford-Rice-Solution'!$E$29,B396)</f>
        <v>-1.1122708520981823</v>
      </c>
    </row>
    <row r="397" spans="1:3" x14ac:dyDescent="0.35">
      <c r="A397">
        <v>395</v>
      </c>
      <c r="B397">
        <f>B396+('Rachford-Rice-Solution'!$M$29-'Rachford-Rice-Solution'!$L$29)/999</f>
        <v>0.49802151367448921</v>
      </c>
      <c r="C397" cm="1">
        <f t="array" ref="C397">RR_Eq('Rachford-Rice-Solution'!$B$29,'Rachford-Rice-Solution'!$C$29,'Rachford-Rice-Solution'!$D$29,'Rachford-Rice-Solution'!$E$29,B397)</f>
        <v>-1.1145914042156528</v>
      </c>
    </row>
    <row r="398" spans="1:3" x14ac:dyDescent="0.35">
      <c r="A398">
        <v>396</v>
      </c>
      <c r="B398">
        <f>B397+('Rachford-Rice-Solution'!$M$29-'Rachford-Rice-Solution'!$L$29)/999</f>
        <v>0.49928901882548649</v>
      </c>
      <c r="C398" cm="1">
        <f t="array" ref="C398">RR_Eq('Rachford-Rice-Solution'!$B$29,'Rachford-Rice-Solution'!$C$29,'Rachford-Rice-Solution'!$D$29,'Rachford-Rice-Solution'!$E$29,B398)</f>
        <v>-1.1169171952878338</v>
      </c>
    </row>
    <row r="399" spans="1:3" x14ac:dyDescent="0.35">
      <c r="A399">
        <v>397</v>
      </c>
      <c r="B399">
        <f>B398+('Rachford-Rice-Solution'!$M$29-'Rachford-Rice-Solution'!$L$29)/999</f>
        <v>0.50055652397648376</v>
      </c>
      <c r="C399" cm="1">
        <f t="array" ref="C399">RR_Eq('Rachford-Rice-Solution'!$B$29,'Rachford-Rice-Solution'!$C$29,'Rachford-Rice-Solution'!$D$29,'Rachford-Rice-Solution'!$E$29,B399)</f>
        <v>-1.1192482699325668</v>
      </c>
    </row>
    <row r="400" spans="1:3" x14ac:dyDescent="0.35">
      <c r="A400">
        <v>398</v>
      </c>
      <c r="B400">
        <f>B399+('Rachford-Rice-Solution'!$M$29-'Rachford-Rice-Solution'!$L$29)/999</f>
        <v>0.50182402912748103</v>
      </c>
      <c r="C400" cm="1">
        <f t="array" ref="C400">RR_Eq('Rachford-Rice-Solution'!$B$29,'Rachford-Rice-Solution'!$C$29,'Rachford-Rice-Solution'!$D$29,'Rachford-Rice-Solution'!$E$29,B400)</f>
        <v>-1.121584672876909</v>
      </c>
    </row>
    <row r="401" spans="1:3" x14ac:dyDescent="0.35">
      <c r="A401">
        <v>399</v>
      </c>
      <c r="B401">
        <f>B400+('Rachford-Rice-Solution'!$M$29-'Rachford-Rice-Solution'!$L$29)/999</f>
        <v>0.5030915342784783</v>
      </c>
      <c r="C401" cm="1">
        <f t="array" ref="C401">RR_Eq('Rachford-Rice-Solution'!$B$29,'Rachford-Rice-Solution'!$C$29,'Rachford-Rice-Solution'!$D$29,'Rachford-Rice-Solution'!$E$29,B401)</f>
        <v>-1.1239264489604022</v>
      </c>
    </row>
    <row r="402" spans="1:3" x14ac:dyDescent="0.35">
      <c r="A402">
        <v>400</v>
      </c>
      <c r="B402">
        <f>B401+('Rachford-Rice-Solution'!$M$29-'Rachford-Rice-Solution'!$L$29)/999</f>
        <v>0.50435903942947558</v>
      </c>
      <c r="C402" cm="1">
        <f t="array" ref="C402">RR_Eq('Rachford-Rice-Solution'!$B$29,'Rachford-Rice-Solution'!$C$29,'Rachford-Rice-Solution'!$D$29,'Rachford-Rice-Solution'!$E$29,B402)</f>
        <v>-1.1262736431383318</v>
      </c>
    </row>
    <row r="403" spans="1:3" x14ac:dyDescent="0.35">
      <c r="A403">
        <v>401</v>
      </c>
      <c r="B403">
        <f>B402+('Rachford-Rice-Solution'!$M$29-'Rachford-Rice-Solution'!$L$29)/999</f>
        <v>0.50562654458047285</v>
      </c>
      <c r="C403" cm="1">
        <f t="array" ref="C403">RR_Eq('Rachford-Rice-Solution'!$B$29,'Rachford-Rice-Solution'!$C$29,'Rachford-Rice-Solution'!$D$29,'Rachford-Rice-Solution'!$E$29,B403)</f>
        <v>-1.128626300484987</v>
      </c>
    </row>
    <row r="404" spans="1:3" x14ac:dyDescent="0.35">
      <c r="A404">
        <v>402</v>
      </c>
      <c r="B404">
        <f>B403+('Rachford-Rice-Solution'!$M$29-'Rachford-Rice-Solution'!$L$29)/999</f>
        <v>0.50689404973147012</v>
      </c>
      <c r="C404" cm="1">
        <f t="array" ref="C404">RR_Eq('Rachford-Rice-Solution'!$B$29,'Rachford-Rice-Solution'!$C$29,'Rachford-Rice-Solution'!$D$29,'Rachford-Rice-Solution'!$E$29,B404)</f>
        <v>-1.1309844661969208</v>
      </c>
    </row>
    <row r="405" spans="1:3" x14ac:dyDescent="0.35">
      <c r="A405">
        <v>403</v>
      </c>
      <c r="B405">
        <f>B404+('Rachford-Rice-Solution'!$M$29-'Rachford-Rice-Solution'!$L$29)/999</f>
        <v>0.50816155488246739</v>
      </c>
      <c r="C405" cm="1">
        <f t="array" ref="C405">RR_Eq('Rachford-Rice-Solution'!$B$29,'Rachford-Rice-Solution'!$C$29,'Rachford-Rice-Solution'!$D$29,'Rachford-Rice-Solution'!$E$29,B405)</f>
        <v>-1.1333481855962042</v>
      </c>
    </row>
    <row r="406" spans="1:3" x14ac:dyDescent="0.35">
      <c r="A406">
        <v>404</v>
      </c>
      <c r="B406">
        <f>B405+('Rachford-Rice-Solution'!$M$29-'Rachford-Rice-Solution'!$L$29)/999</f>
        <v>0.50942906003346466</v>
      </c>
      <c r="C406" cm="1">
        <f t="array" ref="C406">RR_Eq('Rachford-Rice-Solution'!$B$29,'Rachford-Rice-Solution'!$C$29,'Rachford-Rice-Solution'!$D$29,'Rachford-Rice-Solution'!$E$29,B406)</f>
        <v>-1.135717504133686</v>
      </c>
    </row>
    <row r="407" spans="1:3" x14ac:dyDescent="0.35">
      <c r="A407">
        <v>405</v>
      </c>
      <c r="B407">
        <f>B406+('Rachford-Rice-Solution'!$M$29-'Rachford-Rice-Solution'!$L$29)/999</f>
        <v>0.51069656518446194</v>
      </c>
      <c r="C407" cm="1">
        <f t="array" ref="C407">RR_Eq('Rachford-Rice-Solution'!$B$29,'Rachford-Rice-Solution'!$C$29,'Rachford-Rice-Solution'!$D$29,'Rachford-Rice-Solution'!$E$29,B407)</f>
        <v>-1.1380924673922459</v>
      </c>
    </row>
    <row r="408" spans="1:3" x14ac:dyDescent="0.35">
      <c r="A408">
        <v>406</v>
      </c>
      <c r="B408">
        <f>B407+('Rachford-Rice-Solution'!$M$29-'Rachford-Rice-Solution'!$L$29)/999</f>
        <v>0.51196407033545921</v>
      </c>
      <c r="C408" cm="1">
        <f t="array" ref="C408">RR_Eq('Rachford-Rice-Solution'!$B$29,'Rachford-Rice-Solution'!$C$29,'Rachford-Rice-Solution'!$D$29,'Rachford-Rice-Solution'!$E$29,B408)</f>
        <v>-1.1404731210900541</v>
      </c>
    </row>
    <row r="409" spans="1:3" x14ac:dyDescent="0.35">
      <c r="A409">
        <v>407</v>
      </c>
      <c r="B409">
        <f>B408+('Rachford-Rice-Solution'!$M$29-'Rachford-Rice-Solution'!$L$29)/999</f>
        <v>0.51323157548645648</v>
      </c>
      <c r="C409" cm="1">
        <f t="array" ref="C409">RR_Eq('Rachford-Rice-Solution'!$B$29,'Rachford-Rice-Solution'!$C$29,'Rachford-Rice-Solution'!$D$29,'Rachford-Rice-Solution'!$E$29,B409)</f>
        <v>-1.1428595110838295</v>
      </c>
    </row>
    <row r="410" spans="1:3" x14ac:dyDescent="0.35">
      <c r="A410">
        <v>408</v>
      </c>
      <c r="B410">
        <f>B409+('Rachford-Rice-Solution'!$M$29-'Rachford-Rice-Solution'!$L$29)/999</f>
        <v>0.51449908063745375</v>
      </c>
      <c r="C410" cm="1">
        <f t="array" ref="C410">RR_Eq('Rachford-Rice-Solution'!$B$29,'Rachford-Rice-Solution'!$C$29,'Rachford-Rice-Solution'!$D$29,'Rachford-Rice-Solution'!$E$29,B410)</f>
        <v>-1.1452516833720983</v>
      </c>
    </row>
    <row r="411" spans="1:3" x14ac:dyDescent="0.35">
      <c r="A411">
        <v>409</v>
      </c>
      <c r="B411">
        <f>B410+('Rachford-Rice-Solution'!$M$29-'Rachford-Rice-Solution'!$L$29)/999</f>
        <v>0.51576658578845103</v>
      </c>
      <c r="C411" cm="1">
        <f t="array" ref="C411">RR_Eq('Rachford-Rice-Solution'!$B$29,'Rachford-Rice-Solution'!$C$29,'Rachford-Rice-Solution'!$D$29,'Rachford-Rice-Solution'!$E$29,B411)</f>
        <v>-1.1476496840984589</v>
      </c>
    </row>
    <row r="412" spans="1:3" x14ac:dyDescent="0.35">
      <c r="A412">
        <v>410</v>
      </c>
      <c r="B412">
        <f>B411+('Rachford-Rice-Solution'!$M$29-'Rachford-Rice-Solution'!$L$29)/999</f>
        <v>0.5170340909394483</v>
      </c>
      <c r="C412" cm="1">
        <f t="array" ref="C412">RR_Eq('Rachford-Rice-Solution'!$B$29,'Rachford-Rice-Solution'!$C$29,'Rachford-Rice-Solution'!$D$29,'Rachford-Rice-Solution'!$E$29,B412)</f>
        <v>-1.1500535595548442</v>
      </c>
    </row>
    <row r="413" spans="1:3" x14ac:dyDescent="0.35">
      <c r="A413">
        <v>411</v>
      </c>
      <c r="B413">
        <f>B412+('Rachford-Rice-Solution'!$M$29-'Rachford-Rice-Solution'!$L$29)/999</f>
        <v>0.51830159609044557</v>
      </c>
      <c r="C413" cm="1">
        <f t="array" ref="C413">RR_Eq('Rachford-Rice-Solution'!$B$29,'Rachford-Rice-Solution'!$C$29,'Rachford-Rice-Solution'!$D$29,'Rachford-Rice-Solution'!$E$29,B413)</f>
        <v>-1.1524633561847932</v>
      </c>
    </row>
    <row r="414" spans="1:3" x14ac:dyDescent="0.35">
      <c r="A414">
        <v>412</v>
      </c>
      <c r="B414">
        <f>B413+('Rachford-Rice-Solution'!$M$29-'Rachford-Rice-Solution'!$L$29)/999</f>
        <v>0.51956910124144284</v>
      </c>
      <c r="C414" cm="1">
        <f t="array" ref="C414">RR_Eq('Rachford-Rice-Solution'!$B$29,'Rachford-Rice-Solution'!$C$29,'Rachford-Rice-Solution'!$D$29,'Rachford-Rice-Solution'!$E$29,B414)</f>
        <v>-1.1548791205867226</v>
      </c>
    </row>
    <row r="415" spans="1:3" x14ac:dyDescent="0.35">
      <c r="A415">
        <v>413</v>
      </c>
      <c r="B415">
        <f>B414+('Rachford-Rice-Solution'!$M$29-'Rachford-Rice-Solution'!$L$29)/999</f>
        <v>0.52083660639244012</v>
      </c>
      <c r="C415" cm="1">
        <f t="array" ref="C415">RR_Eq('Rachford-Rice-Solution'!$B$29,'Rachford-Rice-Solution'!$C$29,'Rachford-Rice-Solution'!$D$29,'Rachford-Rice-Solution'!$E$29,B415)</f>
        <v>-1.1573008995172025</v>
      </c>
    </row>
    <row r="416" spans="1:3" x14ac:dyDescent="0.35">
      <c r="A416">
        <v>414</v>
      </c>
      <c r="B416">
        <f>B415+('Rachford-Rice-Solution'!$M$29-'Rachford-Rice-Solution'!$L$29)/999</f>
        <v>0.52210411154343739</v>
      </c>
      <c r="C416" cm="1">
        <f t="array" ref="C416">RR_Eq('Rachford-Rice-Solution'!$B$29,'Rachford-Rice-Solution'!$C$29,'Rachford-Rice-Solution'!$D$29,'Rachford-Rice-Solution'!$E$29,B416)</f>
        <v>-1.1597287398942417</v>
      </c>
    </row>
    <row r="417" spans="1:3" x14ac:dyDescent="0.35">
      <c r="A417">
        <v>415</v>
      </c>
      <c r="B417">
        <f>B416+('Rachford-Rice-Solution'!$M$29-'Rachford-Rice-Solution'!$L$29)/999</f>
        <v>0.52337161669443466</v>
      </c>
      <c r="C417" cm="1">
        <f t="array" ref="C417">RR_Eq('Rachford-Rice-Solution'!$B$29,'Rachford-Rice-Solution'!$C$29,'Rachford-Rice-Solution'!$D$29,'Rachford-Rice-Solution'!$E$29,B417)</f>
        <v>-1.1621626888005734</v>
      </c>
    </row>
    <row r="418" spans="1:3" x14ac:dyDescent="0.35">
      <c r="A418">
        <v>416</v>
      </c>
      <c r="B418">
        <f>B417+('Rachford-Rice-Solution'!$M$29-'Rachford-Rice-Solution'!$L$29)/999</f>
        <v>0.52463912184543193</v>
      </c>
      <c r="C418" cm="1">
        <f t="array" ref="C418">RR_Eq('Rachford-Rice-Solution'!$B$29,'Rachford-Rice-Solution'!$C$29,'Rachford-Rice-Solution'!$D$29,'Rachford-Rice-Solution'!$E$29,B418)</f>
        <v>-1.1646027934869503</v>
      </c>
    </row>
    <row r="419" spans="1:3" x14ac:dyDescent="0.35">
      <c r="A419">
        <v>417</v>
      </c>
      <c r="B419">
        <f>B418+('Rachford-Rice-Solution'!$M$29-'Rachford-Rice-Solution'!$L$29)/999</f>
        <v>0.52590662699642921</v>
      </c>
      <c r="C419" cm="1">
        <f t="array" ref="C419">RR_Eq('Rachford-Rice-Solution'!$B$29,'Rachford-Rice-Solution'!$C$29,'Rachford-Rice-Solution'!$D$29,'Rachford-Rice-Solution'!$E$29,B419)</f>
        <v>-1.1670491013754429</v>
      </c>
    </row>
    <row r="420" spans="1:3" x14ac:dyDescent="0.35">
      <c r="A420">
        <v>418</v>
      </c>
      <c r="B420">
        <f>B419+('Rachford-Rice-Solution'!$M$29-'Rachford-Rice-Solution'!$L$29)/999</f>
        <v>0.52717413214742648</v>
      </c>
      <c r="C420" cm="1">
        <f t="array" ref="C420">RR_Eq('Rachford-Rice-Solution'!$B$29,'Rachford-Rice-Solution'!$C$29,'Rachford-Rice-Solution'!$D$29,'Rachford-Rice-Solution'!$E$29,B420)</f>
        <v>-1.169501660062753</v>
      </c>
    </row>
    <row r="421" spans="1:3" x14ac:dyDescent="0.35">
      <c r="A421">
        <v>419</v>
      </c>
      <c r="B421">
        <f>B420+('Rachford-Rice-Solution'!$M$29-'Rachford-Rice-Solution'!$L$29)/999</f>
        <v>0.52844163729842375</v>
      </c>
      <c r="C421" cm="1">
        <f t="array" ref="C421">RR_Eq('Rachford-Rice-Solution'!$B$29,'Rachford-Rice-Solution'!$C$29,'Rachford-Rice-Solution'!$D$29,'Rachford-Rice-Solution'!$E$29,B421)</f>
        <v>-1.1719605173235226</v>
      </c>
    </row>
    <row r="422" spans="1:3" x14ac:dyDescent="0.35">
      <c r="A422">
        <v>420</v>
      </c>
      <c r="B422">
        <f>B421+('Rachford-Rice-Solution'!$M$29-'Rachford-Rice-Solution'!$L$29)/999</f>
        <v>0.52970914244942102</v>
      </c>
      <c r="C422" cm="1">
        <f t="array" ref="C422">RR_Eq('Rachford-Rice-Solution'!$B$29,'Rachford-Rice-Solution'!$C$29,'Rachford-Rice-Solution'!$D$29,'Rachford-Rice-Solution'!$E$29,B422)</f>
        <v>-1.1744257211136626</v>
      </c>
    </row>
    <row r="423" spans="1:3" x14ac:dyDescent="0.35">
      <c r="A423">
        <v>421</v>
      </c>
      <c r="B423">
        <f>B422+('Rachford-Rice-Solution'!$M$29-'Rachford-Rice-Solution'!$L$29)/999</f>
        <v>0.53097664760041829</v>
      </c>
      <c r="C423" cm="1">
        <f t="array" ref="C423">RR_Eq('Rachford-Rice-Solution'!$B$29,'Rachford-Rice-Solution'!$C$29,'Rachford-Rice-Solution'!$D$29,'Rachford-Rice-Solution'!$E$29,B423)</f>
        <v>-1.1768973195736847</v>
      </c>
    </row>
    <row r="424" spans="1:3" x14ac:dyDescent="0.35">
      <c r="A424">
        <v>422</v>
      </c>
      <c r="B424">
        <f>B423+('Rachford-Rice-Solution'!$M$29-'Rachford-Rice-Solution'!$L$29)/999</f>
        <v>0.53224415275141557</v>
      </c>
      <c r="C424" cm="1">
        <f t="array" ref="C424">RR_Eq('Rachford-Rice-Solution'!$B$29,'Rachford-Rice-Solution'!$C$29,'Rachford-Rice-Solution'!$D$29,'Rachford-Rice-Solution'!$E$29,B424)</f>
        <v>-1.1793753610320414</v>
      </c>
    </row>
    <row r="425" spans="1:3" x14ac:dyDescent="0.35">
      <c r="A425">
        <v>423</v>
      </c>
      <c r="B425">
        <f>B424+('Rachford-Rice-Solution'!$M$29-'Rachford-Rice-Solution'!$L$29)/999</f>
        <v>0.53351165790241284</v>
      </c>
      <c r="C425" cm="1">
        <f t="array" ref="C425">RR_Eq('Rachford-Rice-Solution'!$B$29,'Rachford-Rice-Solution'!$C$29,'Rachford-Rice-Solution'!$D$29,'Rachford-Rice-Solution'!$E$29,B425)</f>
        <v>-1.1818598940084815</v>
      </c>
    </row>
    <row r="426" spans="1:3" x14ac:dyDescent="0.35">
      <c r="A426">
        <v>424</v>
      </c>
      <c r="B426">
        <f>B425+('Rachford-Rice-Solution'!$M$29-'Rachford-Rice-Solution'!$L$29)/999</f>
        <v>0.53477916305341011</v>
      </c>
      <c r="C426" cm="1">
        <f t="array" ref="C426">RR_Eq('Rachford-Rice-Solution'!$B$29,'Rachford-Rice-Solution'!$C$29,'Rachford-Rice-Solution'!$D$29,'Rachford-Rice-Solution'!$E$29,B426)</f>
        <v>-1.18435096721741</v>
      </c>
    </row>
    <row r="427" spans="1:3" x14ac:dyDescent="0.35">
      <c r="A427">
        <v>425</v>
      </c>
      <c r="B427">
        <f>B426+('Rachford-Rice-Solution'!$M$29-'Rachford-Rice-Solution'!$L$29)/999</f>
        <v>0.53604666820440738</v>
      </c>
      <c r="C427" cm="1">
        <f t="array" ref="C427">RR_Eq('Rachford-Rice-Solution'!$B$29,'Rachford-Rice-Solution'!$C$29,'Rachford-Rice-Solution'!$D$29,'Rachford-Rice-Solution'!$E$29,B427)</f>
        <v>-1.1868486295712624</v>
      </c>
    </row>
    <row r="428" spans="1:3" x14ac:dyDescent="0.35">
      <c r="A428">
        <v>426</v>
      </c>
      <c r="B428">
        <f>B427+('Rachford-Rice-Solution'!$M$29-'Rachford-Rice-Solution'!$L$29)/999</f>
        <v>0.53731417335540466</v>
      </c>
      <c r="C428" cm="1">
        <f t="array" ref="C428">RR_Eq('Rachford-Rice-Solution'!$B$29,'Rachford-Rice-Solution'!$C$29,'Rachford-Rice-Solution'!$D$29,'Rachford-Rice-Solution'!$E$29,B428)</f>
        <v>-1.1893529301838905</v>
      </c>
    </row>
    <row r="429" spans="1:3" x14ac:dyDescent="0.35">
      <c r="A429">
        <v>427</v>
      </c>
      <c r="B429">
        <f>B428+('Rachford-Rice-Solution'!$M$29-'Rachford-Rice-Solution'!$L$29)/999</f>
        <v>0.53858167850640193</v>
      </c>
      <c r="C429" cm="1">
        <f t="array" ref="C429">RR_Eq('Rachford-Rice-Solution'!$B$29,'Rachford-Rice-Solution'!$C$29,'Rachford-Rice-Solution'!$D$29,'Rachford-Rice-Solution'!$E$29,B429)</f>
        <v>-1.1918639183739577</v>
      </c>
    </row>
    <row r="430" spans="1:3" x14ac:dyDescent="0.35">
      <c r="A430">
        <v>428</v>
      </c>
      <c r="B430">
        <f>B429+('Rachford-Rice-Solution'!$M$29-'Rachford-Rice-Solution'!$L$29)/999</f>
        <v>0.5398491836573992</v>
      </c>
      <c r="C430" cm="1">
        <f t="array" ref="C430">RR_Eq('Rachford-Rice-Solution'!$B$29,'Rachford-Rice-Solution'!$C$29,'Rachford-Rice-Solution'!$D$29,'Rachford-Rice-Solution'!$E$29,B430)</f>
        <v>-1.1943816436683508</v>
      </c>
    </row>
    <row r="431" spans="1:3" x14ac:dyDescent="0.35">
      <c r="A431">
        <v>429</v>
      </c>
      <c r="B431">
        <f>B430+('Rachford-Rice-Solution'!$M$29-'Rachford-Rice-Solution'!$L$29)/999</f>
        <v>0.54111668880839647</v>
      </c>
      <c r="C431" cm="1">
        <f t="array" ref="C431">RR_Eq('Rachford-Rice-Solution'!$B$29,'Rachford-Rice-Solution'!$C$29,'Rachford-Rice-Solution'!$D$29,'Rachford-Rice-Solution'!$E$29,B431)</f>
        <v>-1.1969061558055996</v>
      </c>
    </row>
    <row r="432" spans="1:3" x14ac:dyDescent="0.35">
      <c r="A432">
        <v>430</v>
      </c>
      <c r="B432">
        <f>B431+('Rachford-Rice-Solution'!$M$29-'Rachford-Rice-Solution'!$L$29)/999</f>
        <v>0.54238419395939375</v>
      </c>
      <c r="C432" cm="1">
        <f t="array" ref="C432">RR_Eq('Rachford-Rice-Solution'!$B$29,'Rachford-Rice-Solution'!$C$29,'Rachford-Rice-Solution'!$D$29,'Rachford-Rice-Solution'!$E$29,B432)</f>
        <v>-1.1994375047393171</v>
      </c>
    </row>
    <row r="433" spans="1:3" x14ac:dyDescent="0.35">
      <c r="A433">
        <v>431</v>
      </c>
      <c r="B433">
        <f>B432+('Rachford-Rice-Solution'!$M$29-'Rachford-Rice-Solution'!$L$29)/999</f>
        <v>0.54365169911039102</v>
      </c>
      <c r="C433" cm="1">
        <f t="array" ref="C433">RR_Eq('Rachford-Rice-Solution'!$B$29,'Rachford-Rice-Solution'!$C$29,'Rachford-Rice-Solution'!$D$29,'Rachford-Rice-Solution'!$E$29,B433)</f>
        <v>-1.2019757406416458</v>
      </c>
    </row>
    <row r="434" spans="1:3" x14ac:dyDescent="0.35">
      <c r="A434">
        <v>432</v>
      </c>
      <c r="B434">
        <f>B433+('Rachford-Rice-Solution'!$M$29-'Rachford-Rice-Solution'!$L$29)/999</f>
        <v>0.54491920426138829</v>
      </c>
      <c r="C434" cm="1">
        <f t="array" ref="C434">RR_Eq('Rachford-Rice-Solution'!$B$29,'Rachford-Rice-Solution'!$C$29,'Rachford-Rice-Solution'!$D$29,'Rachford-Rice-Solution'!$E$29,B434)</f>
        <v>-1.2045209139067257</v>
      </c>
    </row>
    <row r="435" spans="1:3" x14ac:dyDescent="0.35">
      <c r="A435">
        <v>433</v>
      </c>
      <c r="B435">
        <f>B434+('Rachford-Rice-Solution'!$M$29-'Rachford-Rice-Solution'!$L$29)/999</f>
        <v>0.54618670941238556</v>
      </c>
      <c r="C435" cm="1">
        <f t="array" ref="C435">RR_Eq('Rachford-Rice-Solution'!$B$29,'Rachford-Rice-Solution'!$C$29,'Rachford-Rice-Solution'!$D$29,'Rachford-Rice-Solution'!$E$29,B435)</f>
        <v>-1.2070730751541745</v>
      </c>
    </row>
    <row r="436" spans="1:3" x14ac:dyDescent="0.35">
      <c r="A436">
        <v>434</v>
      </c>
      <c r="B436">
        <f>B435+('Rachford-Rice-Solution'!$M$29-'Rachford-Rice-Solution'!$L$29)/999</f>
        <v>0.54745421456338283</v>
      </c>
      <c r="C436" cm="1">
        <f t="array" ref="C436">RR_Eq('Rachford-Rice-Solution'!$B$29,'Rachford-Rice-Solution'!$C$29,'Rachford-Rice-Solution'!$D$29,'Rachford-Rice-Solution'!$E$29,B436)</f>
        <v>-1.2096322752325805</v>
      </c>
    </row>
    <row r="437" spans="1:3" x14ac:dyDescent="0.35">
      <c r="A437">
        <v>435</v>
      </c>
      <c r="B437">
        <f>B436+('Rachford-Rice-Solution'!$M$29-'Rachford-Rice-Solution'!$L$29)/999</f>
        <v>0.54872171971438011</v>
      </c>
      <c r="C437" cm="1">
        <f t="array" ref="C437">RR_Eq('Rachford-Rice-Solution'!$B$29,'Rachford-Rice-Solution'!$C$29,'Rachford-Rice-Solution'!$D$29,'Rachford-Rice-Solution'!$E$29,B437)</f>
        <v>-1.2121985652230196</v>
      </c>
    </row>
    <row r="438" spans="1:3" x14ac:dyDescent="0.35">
      <c r="A438">
        <v>436</v>
      </c>
      <c r="B438">
        <f>B437+('Rachford-Rice-Solution'!$M$29-'Rachford-Rice-Solution'!$L$29)/999</f>
        <v>0.54998922486537738</v>
      </c>
      <c r="C438" cm="1">
        <f t="array" ref="C438">RR_Eq('Rachford-Rice-Solution'!$B$29,'Rachford-Rice-Solution'!$C$29,'Rachford-Rice-Solution'!$D$29,'Rachford-Rice-Solution'!$E$29,B438)</f>
        <v>-1.2147719964425816</v>
      </c>
    </row>
    <row r="439" spans="1:3" x14ac:dyDescent="0.35">
      <c r="A439">
        <v>437</v>
      </c>
      <c r="B439">
        <f>B438+('Rachford-Rice-Solution'!$M$29-'Rachford-Rice-Solution'!$L$29)/999</f>
        <v>0.55125673001637465</v>
      </c>
      <c r="C439" cm="1">
        <f t="array" ref="C439">RR_Eq('Rachford-Rice-Solution'!$B$29,'Rachford-Rice-Solution'!$C$29,'Rachford-Rice-Solution'!$D$29,'Rachford-Rice-Solution'!$E$29,B439)</f>
        <v>-1.2173526204479168</v>
      </c>
    </row>
    <row r="440" spans="1:3" x14ac:dyDescent="0.35">
      <c r="A440">
        <v>438</v>
      </c>
      <c r="B440">
        <f>B439+('Rachford-Rice-Solution'!$M$29-'Rachford-Rice-Solution'!$L$29)/999</f>
        <v>0.55252423516737192</v>
      </c>
      <c r="C440" cm="1">
        <f t="array" ref="C440">RR_Eq('Rachford-Rice-Solution'!$B$29,'Rachford-Rice-Solution'!$C$29,'Rachford-Rice-Solution'!$D$29,'Rachford-Rice-Solution'!$E$29,B440)</f>
        <v>-1.2199404890388019</v>
      </c>
    </row>
    <row r="441" spans="1:3" x14ac:dyDescent="0.35">
      <c r="A441">
        <v>439</v>
      </c>
      <c r="B441">
        <f>B440+('Rachford-Rice-Solution'!$M$29-'Rachford-Rice-Solution'!$L$29)/999</f>
        <v>0.5537917403183692</v>
      </c>
      <c r="C441" cm="1">
        <f t="array" ref="C441">RR_Eq('Rachford-Rice-Solution'!$B$29,'Rachford-Rice-Solution'!$C$29,'Rachford-Rice-Solution'!$D$29,'Rachford-Rice-Solution'!$E$29,B441)</f>
        <v>-1.2225356542617218</v>
      </c>
    </row>
    <row r="442" spans="1:3" x14ac:dyDescent="0.35">
      <c r="A442">
        <v>440</v>
      </c>
      <c r="B442">
        <f>B441+('Rachford-Rice-Solution'!$M$29-'Rachford-Rice-Solution'!$L$29)/999</f>
        <v>0.55505924546936647</v>
      </c>
      <c r="C442" cm="1">
        <f t="array" ref="C442">RR_Eq('Rachford-Rice-Solution'!$B$29,'Rachford-Rice-Solution'!$C$29,'Rachford-Rice-Solution'!$D$29,'Rachford-Rice-Solution'!$E$29,B442)</f>
        <v>-1.2251381684134726</v>
      </c>
    </row>
    <row r="443" spans="1:3" x14ac:dyDescent="0.35">
      <c r="A443">
        <v>441</v>
      </c>
      <c r="B443">
        <f>B442+('Rachford-Rice-Solution'!$M$29-'Rachford-Rice-Solution'!$L$29)/999</f>
        <v>0.55632675062036374</v>
      </c>
      <c r="C443" cm="1">
        <f t="array" ref="C443">RR_Eq('Rachford-Rice-Solution'!$B$29,'Rachford-Rice-Solution'!$C$29,'Rachford-Rice-Solution'!$D$29,'Rachford-Rice-Solution'!$E$29,B443)</f>
        <v>-1.2277480840447812</v>
      </c>
    </row>
    <row r="444" spans="1:3" x14ac:dyDescent="0.35">
      <c r="A444">
        <v>442</v>
      </c>
      <c r="B444">
        <f>B443+('Rachford-Rice-Solution'!$M$29-'Rachford-Rice-Solution'!$L$29)/999</f>
        <v>0.55759425577136101</v>
      </c>
      <c r="C444" cm="1">
        <f t="array" ref="C444">RR_Eq('Rachford-Rice-Solution'!$B$29,'Rachford-Rice-Solution'!$C$29,'Rachford-Rice-Solution'!$D$29,'Rachford-Rice-Solution'!$E$29,B444)</f>
        <v>-1.230365453963949</v>
      </c>
    </row>
    <row r="445" spans="1:3" x14ac:dyDescent="0.35">
      <c r="A445">
        <v>443</v>
      </c>
      <c r="B445">
        <f>B444+('Rachford-Rice-Solution'!$M$29-'Rachford-Rice-Solution'!$L$29)/999</f>
        <v>0.55886176092235829</v>
      </c>
      <c r="C445" cm="1">
        <f t="array" ref="C445">RR_Eq('Rachford-Rice-Solution'!$B$29,'Rachford-Rice-Solution'!$C$29,'Rachford-Rice-Solution'!$D$29,'Rachford-Rice-Solution'!$E$29,B445)</f>
        <v>-1.2329903312405135</v>
      </c>
    </row>
    <row r="446" spans="1:3" x14ac:dyDescent="0.35">
      <c r="A446">
        <v>444</v>
      </c>
      <c r="B446">
        <f>B445+('Rachford-Rice-Solution'!$M$29-'Rachford-Rice-Solution'!$L$29)/999</f>
        <v>0.56012926607335556</v>
      </c>
      <c r="C446" cm="1">
        <f t="array" ref="C446">RR_Eq('Rachford-Rice-Solution'!$B$29,'Rachford-Rice-Solution'!$C$29,'Rachford-Rice-Solution'!$D$29,'Rachford-Rice-Solution'!$E$29,B446)</f>
        <v>-1.2356227692089301</v>
      </c>
    </row>
    <row r="447" spans="1:3" x14ac:dyDescent="0.35">
      <c r="A447">
        <v>445</v>
      </c>
      <c r="B447">
        <f>B446+('Rachford-Rice-Solution'!$M$29-'Rachford-Rice-Solution'!$L$29)/999</f>
        <v>0.56139677122435283</v>
      </c>
      <c r="C447" cm="1">
        <f t="array" ref="C447">RR_Eq('Rachford-Rice-Solution'!$B$29,'Rachford-Rice-Solution'!$C$29,'Rachford-Rice-Solution'!$D$29,'Rachford-Rice-Solution'!$E$29,B447)</f>
        <v>-1.2382628214722813</v>
      </c>
    </row>
    <row r="448" spans="1:3" x14ac:dyDescent="0.35">
      <c r="A448">
        <v>446</v>
      </c>
      <c r="B448">
        <f>B447+('Rachford-Rice-Solution'!$M$29-'Rachford-Rice-Solution'!$L$29)/999</f>
        <v>0.5626642763753501</v>
      </c>
      <c r="C448" cm="1">
        <f t="array" ref="C448">RR_Eq('Rachford-Rice-Solution'!$B$29,'Rachford-Rice-Solution'!$C$29,'Rachford-Rice-Solution'!$D$29,'Rachford-Rice-Solution'!$E$29,B448)</f>
        <v>-1.2409105419059985</v>
      </c>
    </row>
    <row r="449" spans="1:3" x14ac:dyDescent="0.35">
      <c r="A449">
        <v>447</v>
      </c>
      <c r="B449">
        <f>B448+('Rachford-Rice-Solution'!$M$29-'Rachford-Rice-Solution'!$L$29)/999</f>
        <v>0.56393178152634738</v>
      </c>
      <c r="C449" cm="1">
        <f t="array" ref="C449">RR_Eq('Rachford-Rice-Solution'!$B$29,'Rachford-Rice-Solution'!$C$29,'Rachford-Rice-Solution'!$D$29,'Rachford-Rice-Solution'!$E$29,B449)</f>
        <v>-1.2435659846616178</v>
      </c>
    </row>
    <row r="450" spans="1:3" x14ac:dyDescent="0.35">
      <c r="A450">
        <v>448</v>
      </c>
      <c r="B450">
        <f>B449+('Rachford-Rice-Solution'!$M$29-'Rachford-Rice-Solution'!$L$29)/999</f>
        <v>0.56519928667734465</v>
      </c>
      <c r="C450" cm="1">
        <f t="array" ref="C450">RR_Eq('Rachford-Rice-Solution'!$B$29,'Rachford-Rice-Solution'!$C$29,'Rachford-Rice-Solution'!$D$29,'Rachford-Rice-Solution'!$E$29,B450)</f>
        <v>-1.2462292041705509</v>
      </c>
    </row>
    <row r="451" spans="1:3" x14ac:dyDescent="0.35">
      <c r="A451">
        <v>449</v>
      </c>
      <c r="B451">
        <f>B450+('Rachford-Rice-Solution'!$M$29-'Rachford-Rice-Solution'!$L$29)/999</f>
        <v>0.56646679182834192</v>
      </c>
      <c r="C451" cm="1">
        <f t="array" ref="C451">RR_Eq('Rachford-Rice-Solution'!$B$29,'Rachford-Rice-Solution'!$C$29,'Rachford-Rice-Solution'!$D$29,'Rachford-Rice-Solution'!$E$29,B451)</f>
        <v>-1.2489002551478834</v>
      </c>
    </row>
    <row r="452" spans="1:3" x14ac:dyDescent="0.35">
      <c r="A452">
        <v>450</v>
      </c>
      <c r="B452">
        <f>B451+('Rachford-Rice-Solution'!$M$29-'Rachford-Rice-Solution'!$L$29)/999</f>
        <v>0.56773429697933919</v>
      </c>
      <c r="C452" cm="1">
        <f t="array" ref="C452">RR_Eq('Rachford-Rice-Solution'!$B$29,'Rachford-Rice-Solution'!$C$29,'Rachford-Rice-Solution'!$D$29,'Rachford-Rice-Solution'!$E$29,B452)</f>
        <v>-1.2515791925961977</v>
      </c>
    </row>
    <row r="453" spans="1:3" x14ac:dyDescent="0.35">
      <c r="A453">
        <v>451</v>
      </c>
      <c r="B453">
        <f>B452+('Rachford-Rice-Solution'!$M$29-'Rachford-Rice-Solution'!$L$29)/999</f>
        <v>0.56900180213033646</v>
      </c>
      <c r="C453" cm="1">
        <f t="array" ref="C453">RR_Eq('Rachford-Rice-Solution'!$B$29,'Rachford-Rice-Solution'!$C$29,'Rachford-Rice-Solution'!$D$29,'Rachford-Rice-Solution'!$E$29,B453)</f>
        <v>-1.2542660718094201</v>
      </c>
    </row>
    <row r="454" spans="1:3" x14ac:dyDescent="0.35">
      <c r="A454">
        <v>452</v>
      </c>
      <c r="B454">
        <f>B453+('Rachford-Rice-Solution'!$M$29-'Rachford-Rice-Solution'!$L$29)/999</f>
        <v>0.57026930728133374</v>
      </c>
      <c r="C454" cm="1">
        <f t="array" ref="C454">RR_Eq('Rachford-Rice-Solution'!$B$29,'Rachford-Rice-Solution'!$C$29,'Rachford-Rice-Solution'!$D$29,'Rachford-Rice-Solution'!$E$29,B454)</f>
        <v>-1.2569609483766957</v>
      </c>
    </row>
    <row r="455" spans="1:3" x14ac:dyDescent="0.35">
      <c r="A455">
        <v>453</v>
      </c>
      <c r="B455">
        <f>B454+('Rachford-Rice-Solution'!$M$29-'Rachford-Rice-Solution'!$L$29)/999</f>
        <v>0.57153681243233101</v>
      </c>
      <c r="C455" cm="1">
        <f t="array" ref="C455">RR_Eq('Rachford-Rice-Solution'!$B$29,'Rachford-Rice-Solution'!$C$29,'Rachford-Rice-Solution'!$D$29,'Rachford-Rice-Solution'!$E$29,B455)</f>
        <v>-1.259663878186285</v>
      </c>
    </row>
    <row r="456" spans="1:3" x14ac:dyDescent="0.35">
      <c r="A456">
        <v>454</v>
      </c>
      <c r="B456">
        <f>B455+('Rachford-Rice-Solution'!$M$29-'Rachford-Rice-Solution'!$L$29)/999</f>
        <v>0.57280431758332828</v>
      </c>
      <c r="C456" cm="1">
        <f t="array" ref="C456">RR_Eq('Rachford-Rice-Solution'!$B$29,'Rachford-Rice-Solution'!$C$29,'Rachford-Rice-Solution'!$D$29,'Rachford-Rice-Solution'!$E$29,B456)</f>
        <v>-1.2623749174294938</v>
      </c>
    </row>
    <row r="457" spans="1:3" x14ac:dyDescent="0.35">
      <c r="A457">
        <v>455</v>
      </c>
      <c r="B457">
        <f>B456+('Rachford-Rice-Solution'!$M$29-'Rachford-Rice-Solution'!$L$29)/999</f>
        <v>0.57407182273432555</v>
      </c>
      <c r="C457" cm="1">
        <f t="array" ref="C457">RR_Eq('Rachford-Rice-Solution'!$B$29,'Rachford-Rice-Solution'!$C$29,'Rachford-Rice-Solution'!$D$29,'Rachford-Rice-Solution'!$E$29,B457)</f>
        <v>-1.2650941226046255</v>
      </c>
    </row>
    <row r="458" spans="1:3" x14ac:dyDescent="0.35">
      <c r="A458">
        <v>456</v>
      </c>
      <c r="B458">
        <f>B457+('Rachford-Rice-Solution'!$M$29-'Rachford-Rice-Solution'!$L$29)/999</f>
        <v>0.57533932788532283</v>
      </c>
      <c r="C458" cm="1">
        <f t="array" ref="C458">RR_Eq('Rachford-Rice-Solution'!$B$29,'Rachford-Rice-Solution'!$C$29,'Rachford-Rice-Solution'!$D$29,'Rachford-Rice-Solution'!$E$29,B458)</f>
        <v>-1.2678215505209627</v>
      </c>
    </row>
    <row r="459" spans="1:3" x14ac:dyDescent="0.35">
      <c r="A459">
        <v>457</v>
      </c>
      <c r="B459">
        <f>B458+('Rachford-Rice-Solution'!$M$29-'Rachford-Rice-Solution'!$L$29)/999</f>
        <v>0.5766068330363201</v>
      </c>
      <c r="C459" cm="1">
        <f t="array" ref="C459">RR_Eq('Rachford-Rice-Solution'!$B$29,'Rachford-Rice-Solution'!$C$29,'Rachford-Rice-Solution'!$D$29,'Rachford-Rice-Solution'!$E$29,B459)</f>
        <v>-1.2705572583027811</v>
      </c>
    </row>
    <row r="460" spans="1:3" x14ac:dyDescent="0.35">
      <c r="A460">
        <v>458</v>
      </c>
      <c r="B460">
        <f>B459+('Rachford-Rice-Solution'!$M$29-'Rachford-Rice-Solution'!$L$29)/999</f>
        <v>0.57787433818731737</v>
      </c>
      <c r="C460" cm="1">
        <f t="array" ref="C460">RR_Eq('Rachford-Rice-Solution'!$B$29,'Rachford-Rice-Solution'!$C$29,'Rachford-Rice-Solution'!$D$29,'Rachford-Rice-Solution'!$E$29,B460)</f>
        <v>-1.2733013033933858</v>
      </c>
    </row>
    <row r="461" spans="1:3" x14ac:dyDescent="0.35">
      <c r="A461">
        <v>459</v>
      </c>
      <c r="B461">
        <f>B460+('Rachford-Rice-Solution'!$M$29-'Rachford-Rice-Solution'!$L$29)/999</f>
        <v>0.57914184333831464</v>
      </c>
      <c r="C461" cm="1">
        <f t="array" ref="C461">RR_Eq('Rachford-Rice-Solution'!$B$29,'Rachford-Rice-Solution'!$C$29,'Rachford-Rice-Solution'!$D$29,'Rachford-Rice-Solution'!$E$29,B461)</f>
        <v>-1.2760537435591843</v>
      </c>
    </row>
    <row r="462" spans="1:3" x14ac:dyDescent="0.35">
      <c r="A462">
        <v>460</v>
      </c>
      <c r="B462">
        <f>B461+('Rachford-Rice-Solution'!$M$29-'Rachford-Rice-Solution'!$L$29)/999</f>
        <v>0.58040934848931192</v>
      </c>
      <c r="C462" cm="1">
        <f t="array" ref="C462">RR_Eq('Rachford-Rice-Solution'!$B$29,'Rachford-Rice-Solution'!$C$29,'Rachford-Rice-Solution'!$D$29,'Rachford-Rice-Solution'!$E$29,B462)</f>
        <v>-1.2788146368937863</v>
      </c>
    </row>
    <row r="463" spans="1:3" x14ac:dyDescent="0.35">
      <c r="A463">
        <v>461</v>
      </c>
      <c r="B463">
        <f>B462+('Rachford-Rice-Solution'!$M$29-'Rachford-Rice-Solution'!$L$29)/999</f>
        <v>0.58167685364030919</v>
      </c>
      <c r="C463" cm="1">
        <f t="array" ref="C463">RR_Eq('Rachford-Rice-Solution'!$B$29,'Rachford-Rice-Solution'!$C$29,'Rachford-Rice-Solution'!$D$29,'Rachford-Rice-Solution'!$E$29,B463)</f>
        <v>-1.2815840418221351</v>
      </c>
    </row>
    <row r="464" spans="1:3" x14ac:dyDescent="0.35">
      <c r="A464">
        <v>462</v>
      </c>
      <c r="B464">
        <f>B463+('Rachford-Rice-Solution'!$M$29-'Rachford-Rice-Solution'!$L$29)/999</f>
        <v>0.58294435879130646</v>
      </c>
      <c r="C464" cm="1">
        <f t="array" ref="C464">RR_Eq('Rachford-Rice-Solution'!$B$29,'Rachford-Rice-Solution'!$C$29,'Rachford-Rice-Solution'!$D$29,'Rachford-Rice-Solution'!$E$29,B464)</f>
        <v>-1.2843620171046719</v>
      </c>
    </row>
    <row r="465" spans="1:3" x14ac:dyDescent="0.35">
      <c r="A465">
        <v>463</v>
      </c>
      <c r="B465">
        <f>B464+('Rachford-Rice-Solution'!$M$29-'Rachford-Rice-Solution'!$L$29)/999</f>
        <v>0.58421186394230373</v>
      </c>
      <c r="C465" cm="1">
        <f t="array" ref="C465">RR_Eq('Rachford-Rice-Solution'!$B$29,'Rachford-Rice-Solution'!$C$29,'Rachford-Rice-Solution'!$D$29,'Rachford-Rice-Solution'!$E$29,B465)</f>
        <v>-1.2871486218415307</v>
      </c>
    </row>
    <row r="466" spans="1:3" x14ac:dyDescent="0.35">
      <c r="A466">
        <v>464</v>
      </c>
      <c r="B466">
        <f>B465+('Rachford-Rice-Solution'!$M$29-'Rachford-Rice-Solution'!$L$29)/999</f>
        <v>0.58547936909330101</v>
      </c>
      <c r="C466" cm="1">
        <f t="array" ref="C466">RR_Eq('Rachford-Rice-Solution'!$B$29,'Rachford-Rice-Solution'!$C$29,'Rachford-Rice-Solution'!$D$29,'Rachford-Rice-Solution'!$E$29,B466)</f>
        <v>-1.28994391547677</v>
      </c>
    </row>
    <row r="467" spans="1:3" x14ac:dyDescent="0.35">
      <c r="A467">
        <v>465</v>
      </c>
      <c r="B467">
        <f>B466+('Rachford-Rice-Solution'!$M$29-'Rachford-Rice-Solution'!$L$29)/999</f>
        <v>0.58674687424429828</v>
      </c>
      <c r="C467" cm="1">
        <f t="array" ref="C467">RR_Eq('Rachford-Rice-Solution'!$B$29,'Rachford-Rice-Solution'!$C$29,'Rachford-Rice-Solution'!$D$29,'Rachford-Rice-Solution'!$E$29,B467)</f>
        <v>-1.2927479578026317</v>
      </c>
    </row>
    <row r="468" spans="1:3" x14ac:dyDescent="0.35">
      <c r="A468">
        <v>466</v>
      </c>
      <c r="B468">
        <f>B467+('Rachford-Rice-Solution'!$M$29-'Rachford-Rice-Solution'!$L$29)/999</f>
        <v>0.58801437939529555</v>
      </c>
      <c r="C468" cm="1">
        <f t="array" ref="C468">RR_Eq('Rachford-Rice-Solution'!$B$29,'Rachford-Rice-Solution'!$C$29,'Rachford-Rice-Solution'!$D$29,'Rachford-Rice-Solution'!$E$29,B468)</f>
        <v>-1.2955608089638422</v>
      </c>
    </row>
    <row r="469" spans="1:3" x14ac:dyDescent="0.35">
      <c r="A469">
        <v>467</v>
      </c>
      <c r="B469">
        <f>B468+('Rachford-Rice-Solution'!$M$29-'Rachford-Rice-Solution'!$L$29)/999</f>
        <v>0.58928188454629282</v>
      </c>
      <c r="C469" cm="1">
        <f t="array" ref="C469">RR_Eq('Rachford-Rice-Solution'!$B$29,'Rachford-Rice-Solution'!$C$29,'Rachford-Rice-Solution'!$D$29,'Rachford-Rice-Solution'!$E$29,B469)</f>
        <v>-1.2983825294619407</v>
      </c>
    </row>
    <row r="470" spans="1:3" x14ac:dyDescent="0.35">
      <c r="A470">
        <v>468</v>
      </c>
      <c r="B470">
        <f>B469+('Rachford-Rice-Solution'!$M$29-'Rachford-Rice-Solution'!$L$29)/999</f>
        <v>0.59054938969729009</v>
      </c>
      <c r="C470" cm="1">
        <f t="array" ref="C470">RR_Eq('Rachford-Rice-Solution'!$B$29,'Rachford-Rice-Solution'!$C$29,'Rachford-Rice-Solution'!$D$29,'Rachford-Rice-Solution'!$E$29,B470)</f>
        <v>-1.3012131801596505</v>
      </c>
    </row>
    <row r="471" spans="1:3" x14ac:dyDescent="0.35">
      <c r="A471">
        <v>469</v>
      </c>
      <c r="B471">
        <f>B470+('Rachford-Rice-Solution'!$M$29-'Rachford-Rice-Solution'!$L$29)/999</f>
        <v>0.59181689484828737</v>
      </c>
      <c r="C471" cm="1">
        <f t="array" ref="C471">RR_Eq('Rachford-Rice-Solution'!$B$29,'Rachford-Rice-Solution'!$C$29,'Rachford-Rice-Solution'!$D$29,'Rachford-Rice-Solution'!$E$29,B471)</f>
        <v>-1.3040528222852807</v>
      </c>
    </row>
    <row r="472" spans="1:3" x14ac:dyDescent="0.35">
      <c r="A472">
        <v>470</v>
      </c>
      <c r="B472">
        <f>B471+('Rachford-Rice-Solution'!$M$29-'Rachford-Rice-Solution'!$L$29)/999</f>
        <v>0.59308439999928464</v>
      </c>
      <c r="C472" cm="1">
        <f t="array" ref="C472">RR_Eq('Rachford-Rice-Solution'!$B$29,'Rachford-Rice-Solution'!$C$29,'Rachford-Rice-Solution'!$D$29,'Rachford-Rice-Solution'!$E$29,B472)</f>
        <v>-1.3069015174371676</v>
      </c>
    </row>
    <row r="473" spans="1:3" x14ac:dyDescent="0.35">
      <c r="A473">
        <v>471</v>
      </c>
      <c r="B473">
        <f>B472+('Rachford-Rice-Solution'!$M$29-'Rachford-Rice-Solution'!$L$29)/999</f>
        <v>0.59435190515028191</v>
      </c>
      <c r="C473" cm="1">
        <f t="array" ref="C473">RR_Eq('Rachford-Rice-Solution'!$B$29,'Rachford-Rice-Solution'!$C$29,'Rachford-Rice-Solution'!$D$29,'Rachford-Rice-Solution'!$E$29,B473)</f>
        <v>-1.3097593275881558</v>
      </c>
    </row>
    <row r="474" spans="1:3" x14ac:dyDescent="0.35">
      <c r="A474">
        <v>472</v>
      </c>
      <c r="B474">
        <f>B473+('Rachford-Rice-Solution'!$M$29-'Rachford-Rice-Solution'!$L$29)/999</f>
        <v>0.59561941030127918</v>
      </c>
      <c r="C474" cm="1">
        <f t="array" ref="C474">RR_Eq('Rachford-Rice-Solution'!$B$29,'Rachford-Rice-Solution'!$C$29,'Rachford-Rice-Solution'!$D$29,'Rachford-Rice-Solution'!$E$29,B474)</f>
        <v>-1.3126263150901103</v>
      </c>
    </row>
    <row r="475" spans="1:3" x14ac:dyDescent="0.35">
      <c r="A475">
        <v>473</v>
      </c>
      <c r="B475">
        <f>B474+('Rachford-Rice-Solution'!$M$29-'Rachford-Rice-Solution'!$L$29)/999</f>
        <v>0.59688691545227646</v>
      </c>
      <c r="C475" cm="1">
        <f t="array" ref="C475">RR_Eq('Rachford-Rice-Solution'!$B$29,'Rachford-Rice-Solution'!$C$29,'Rachford-Rice-Solution'!$D$29,'Rachford-Rice-Solution'!$E$29,B475)</f>
        <v>-1.3155025426784794</v>
      </c>
    </row>
    <row r="476" spans="1:3" x14ac:dyDescent="0.35">
      <c r="A476">
        <v>474</v>
      </c>
      <c r="B476">
        <f>B475+('Rachford-Rice-Solution'!$M$29-'Rachford-Rice-Solution'!$L$29)/999</f>
        <v>0.59815442060327373</v>
      </c>
      <c r="C476" cm="1">
        <f t="array" ref="C476">RR_Eq('Rachford-Rice-Solution'!$B$29,'Rachford-Rice-Solution'!$C$29,'Rachford-Rice-Solution'!$D$29,'Rachford-Rice-Solution'!$E$29,B476)</f>
        <v>-1.3183880734768847</v>
      </c>
    </row>
    <row r="477" spans="1:3" x14ac:dyDescent="0.35">
      <c r="A477">
        <v>475</v>
      </c>
      <c r="B477">
        <f>B476+('Rachford-Rice-Solution'!$M$29-'Rachford-Rice-Solution'!$L$29)/999</f>
        <v>0.599421925754271</v>
      </c>
      <c r="C477" cm="1">
        <f t="array" ref="C477">RR_Eq('Rachford-Rice-Solution'!$B$29,'Rachford-Rice-Solution'!$C$29,'Rachford-Rice-Solution'!$D$29,'Rachford-Rice-Solution'!$E$29,B477)</f>
        <v>-1.3212829710017611</v>
      </c>
    </row>
    <row r="478" spans="1:3" x14ac:dyDescent="0.35">
      <c r="A478">
        <v>476</v>
      </c>
      <c r="B478">
        <f>B477+('Rachford-Rice-Solution'!$M$29-'Rachford-Rice-Solution'!$L$29)/999</f>
        <v>0.60068943090526827</v>
      </c>
      <c r="C478" cm="1">
        <f t="array" ref="C478">RR_Eq('Rachford-Rice-Solution'!$B$29,'Rachford-Rice-Solution'!$C$29,'Rachford-Rice-Solution'!$D$29,'Rachford-Rice-Solution'!$E$29,B478)</f>
        <v>-1.3241872991670334</v>
      </c>
    </row>
    <row r="479" spans="1:3" x14ac:dyDescent="0.35">
      <c r="A479">
        <v>477</v>
      </c>
      <c r="B479">
        <f>B478+('Rachford-Rice-Solution'!$M$29-'Rachford-Rice-Solution'!$L$29)/999</f>
        <v>0.60195693605626555</v>
      </c>
      <c r="C479" cm="1">
        <f t="array" ref="C479">RR_Eq('Rachford-Rice-Solution'!$B$29,'Rachford-Rice-Solution'!$C$29,'Rachford-Rice-Solution'!$D$29,'Rachford-Rice-Solution'!$E$29,B479)</f>
        <v>-1.3271011222888347</v>
      </c>
    </row>
    <row r="480" spans="1:3" x14ac:dyDescent="0.35">
      <c r="A480">
        <v>478</v>
      </c>
      <c r="B480">
        <f>B479+('Rachford-Rice-Solution'!$M$29-'Rachford-Rice-Solution'!$L$29)/999</f>
        <v>0.60322444120726282</v>
      </c>
      <c r="C480" cm="1">
        <f t="array" ref="C480">RR_Eq('Rachford-Rice-Solution'!$B$29,'Rachford-Rice-Solution'!$C$29,'Rachford-Rice-Solution'!$D$29,'Rachford-Rice-Solution'!$E$29,B480)</f>
        <v>-1.3300245050902719</v>
      </c>
    </row>
    <row r="481" spans="1:3" x14ac:dyDescent="0.35">
      <c r="A481">
        <v>479</v>
      </c>
      <c r="B481">
        <f>B480+('Rachford-Rice-Solution'!$M$29-'Rachford-Rice-Solution'!$L$29)/999</f>
        <v>0.60449194635826009</v>
      </c>
      <c r="C481" cm="1">
        <f t="array" ref="C481">RR_Eq('Rachford-Rice-Solution'!$B$29,'Rachford-Rice-Solution'!$C$29,'Rachford-Rice-Solution'!$D$29,'Rachford-Rice-Solution'!$E$29,B481)</f>
        <v>-1.3329575127062272</v>
      </c>
    </row>
    <row r="482" spans="1:3" x14ac:dyDescent="0.35">
      <c r="A482">
        <v>480</v>
      </c>
      <c r="B482">
        <f>B481+('Rachford-Rice-Solution'!$M$29-'Rachford-Rice-Solution'!$L$29)/999</f>
        <v>0.60575945150925736</v>
      </c>
      <c r="C482" cm="1">
        <f t="array" ref="C482">RR_Eq('Rachford-Rice-Solution'!$B$29,'Rachford-Rice-Solution'!$C$29,'Rachford-Rice-Solution'!$D$29,'Rachford-Rice-Solution'!$E$29,B482)</f>
        <v>-1.3359002106882116</v>
      </c>
    </row>
    <row r="483" spans="1:3" x14ac:dyDescent="0.35">
      <c r="A483">
        <v>481</v>
      </c>
      <c r="B483">
        <f>B482+('Rachford-Rice-Solution'!$M$29-'Rachford-Rice-Solution'!$L$29)/999</f>
        <v>0.60702695666025464</v>
      </c>
      <c r="C483" cm="1">
        <f t="array" ref="C483">RR_Eq('Rachford-Rice-Solution'!$B$29,'Rachford-Rice-Solution'!$C$29,'Rachford-Rice-Solution'!$D$29,'Rachford-Rice-Solution'!$E$29,B483)</f>
        <v>-1.3388526650092567</v>
      </c>
    </row>
    <row r="484" spans="1:3" x14ac:dyDescent="0.35">
      <c r="A484">
        <v>482</v>
      </c>
      <c r="B484">
        <f>B483+('Rachford-Rice-Solution'!$M$29-'Rachford-Rice-Solution'!$L$29)/999</f>
        <v>0.60829446181125191</v>
      </c>
      <c r="C484" cm="1">
        <f t="array" ref="C484">RR_Eq('Rachford-Rice-Solution'!$B$29,'Rachford-Rice-Solution'!$C$29,'Rachford-Rice-Solution'!$D$29,'Rachford-Rice-Solution'!$E$29,B484)</f>
        <v>-1.341814942068857</v>
      </c>
    </row>
    <row r="485" spans="1:3" x14ac:dyDescent="0.35">
      <c r="A485">
        <v>483</v>
      </c>
      <c r="B485">
        <f>B484+('Rachford-Rice-Solution'!$M$29-'Rachford-Rice-Solution'!$L$29)/999</f>
        <v>0.60956196696224918</v>
      </c>
      <c r="C485" cm="1">
        <f t="array" ref="C485">RR_Eq('Rachford-Rice-Solution'!$B$29,'Rachford-Rice-Solution'!$C$29,'Rachford-Rice-Solution'!$D$29,'Rachford-Rice-Solution'!$E$29,B485)</f>
        <v>-1.3447871086979568</v>
      </c>
    </row>
    <row r="486" spans="1:3" x14ac:dyDescent="0.35">
      <c r="A486">
        <v>484</v>
      </c>
      <c r="B486">
        <f>B485+('Rachford-Rice-Solution'!$M$29-'Rachford-Rice-Solution'!$L$29)/999</f>
        <v>0.61082947211324645</v>
      </c>
      <c r="C486" cm="1">
        <f t="array" ref="C486">RR_Eq('Rachford-Rice-Solution'!$B$29,'Rachford-Rice-Solution'!$C$29,'Rachford-Rice-Solution'!$D$29,'Rachford-Rice-Solution'!$E$29,B486)</f>
        <v>-1.347769232163982</v>
      </c>
    </row>
    <row r="487" spans="1:3" x14ac:dyDescent="0.35">
      <c r="A487">
        <v>485</v>
      </c>
      <c r="B487">
        <f>B486+('Rachford-Rice-Solution'!$M$29-'Rachford-Rice-Solution'!$L$29)/999</f>
        <v>0.61209697726424372</v>
      </c>
      <c r="C487" cm="1">
        <f t="array" ref="C487">RR_Eq('Rachford-Rice-Solution'!$B$29,'Rachford-Rice-Solution'!$C$29,'Rachford-Rice-Solution'!$D$29,'Rachford-Rice-Solution'!$E$29,B487)</f>
        <v>-1.3507613801759255</v>
      </c>
    </row>
    <row r="488" spans="1:3" x14ac:dyDescent="0.35">
      <c r="A488">
        <v>486</v>
      </c>
      <c r="B488">
        <f>B487+('Rachford-Rice-Solution'!$M$29-'Rachford-Rice-Solution'!$L$29)/999</f>
        <v>0.613364482415241</v>
      </c>
      <c r="C488" cm="1">
        <f t="array" ref="C488">RR_Eq('Rachford-Rice-Solution'!$B$29,'Rachford-Rice-Solution'!$C$29,'Rachford-Rice-Solution'!$D$29,'Rachford-Rice-Solution'!$E$29,B488)</f>
        <v>-1.3537636208894761</v>
      </c>
    </row>
    <row r="489" spans="1:3" x14ac:dyDescent="0.35">
      <c r="A489">
        <v>487</v>
      </c>
      <c r="B489">
        <f>B488+('Rachford-Rice-Solution'!$M$29-'Rachford-Rice-Solution'!$L$29)/999</f>
        <v>0.61463198756623827</v>
      </c>
      <c r="C489" cm="1">
        <f t="array" ref="C489">RR_Eq('Rachford-Rice-Solution'!$B$29,'Rachford-Rice-Solution'!$C$29,'Rachford-Rice-Solution'!$D$29,'Rachford-Rice-Solution'!$E$29,B489)</f>
        <v>-1.3567760229121992</v>
      </c>
    </row>
    <row r="490" spans="1:3" x14ac:dyDescent="0.35">
      <c r="A490">
        <v>488</v>
      </c>
      <c r="B490">
        <f>B489+('Rachford-Rice-Solution'!$M$29-'Rachford-Rice-Solution'!$L$29)/999</f>
        <v>0.61589949271723554</v>
      </c>
      <c r="C490" cm="1">
        <f t="array" ref="C490">RR_Eq('Rachford-Rice-Solution'!$B$29,'Rachford-Rice-Solution'!$C$29,'Rachford-Rice-Solution'!$D$29,'Rachford-Rice-Solution'!$E$29,B490)</f>
        <v>-1.3597986553087704</v>
      </c>
    </row>
    <row r="491" spans="1:3" x14ac:dyDescent="0.35">
      <c r="A491">
        <v>489</v>
      </c>
      <c r="B491">
        <f>B490+('Rachford-Rice-Solution'!$M$29-'Rachford-Rice-Solution'!$L$29)/999</f>
        <v>0.61716699786823281</v>
      </c>
      <c r="C491" cm="1">
        <f t="array" ref="C491">RR_Eq('Rachford-Rice-Solution'!$B$29,'Rachford-Rice-Solution'!$C$29,'Rachford-Rice-Solution'!$D$29,'Rachford-Rice-Solution'!$E$29,B491)</f>
        <v>-1.362831587606254</v>
      </c>
    </row>
    <row r="492" spans="1:3" x14ac:dyDescent="0.35">
      <c r="A492">
        <v>490</v>
      </c>
      <c r="B492">
        <f>B491+('Rachford-Rice-Solution'!$M$29-'Rachford-Rice-Solution'!$L$29)/999</f>
        <v>0.61843450301923009</v>
      </c>
      <c r="C492" cm="1">
        <f t="array" ref="C492">RR_Eq('Rachford-Rice-Solution'!$B$29,'Rachford-Rice-Solution'!$C$29,'Rachford-Rice-Solution'!$D$29,'Rachford-Rice-Solution'!$E$29,B492)</f>
        <v>-1.365874889799441</v>
      </c>
    </row>
    <row r="493" spans="1:3" x14ac:dyDescent="0.35">
      <c r="A493">
        <v>491</v>
      </c>
      <c r="B493">
        <f>B492+('Rachford-Rice-Solution'!$M$29-'Rachford-Rice-Solution'!$L$29)/999</f>
        <v>0.61970200817022736</v>
      </c>
      <c r="C493" cm="1">
        <f t="array" ref="C493">RR_Eq('Rachford-Rice-Solution'!$B$29,'Rachford-Rice-Solution'!$C$29,'Rachford-Rice-Solution'!$D$29,'Rachford-Rice-Solution'!$E$29,B493)</f>
        <v>-1.3689286323562364</v>
      </c>
    </row>
    <row r="494" spans="1:3" x14ac:dyDescent="0.35">
      <c r="A494">
        <v>492</v>
      </c>
      <c r="B494">
        <f>B493+('Rachford-Rice-Solution'!$M$29-'Rachford-Rice-Solution'!$L$29)/999</f>
        <v>0.62096951332122463</v>
      </c>
      <c r="C494" cm="1">
        <f t="array" ref="C494">RR_Eq('Rachford-Rice-Solution'!$B$29,'Rachford-Rice-Solution'!$C$29,'Rachford-Rice-Solution'!$D$29,'Rachford-Rice-Solution'!$E$29,B494)</f>
        <v>-1.3719928862230995</v>
      </c>
    </row>
    <row r="495" spans="1:3" x14ac:dyDescent="0.35">
      <c r="A495">
        <v>493</v>
      </c>
      <c r="B495">
        <f>B494+('Rachford-Rice-Solution'!$M$29-'Rachford-Rice-Solution'!$L$29)/999</f>
        <v>0.6222370184722219</v>
      </c>
      <c r="C495" cm="1">
        <f t="array" ref="C495">RR_Eq('Rachford-Rice-Solution'!$B$29,'Rachford-Rice-Solution'!$C$29,'Rachford-Rice-Solution'!$D$29,'Rachford-Rice-Solution'!$E$29,B495)</f>
        <v>-1.3750677228305412</v>
      </c>
    </row>
    <row r="496" spans="1:3" x14ac:dyDescent="0.35">
      <c r="A496">
        <v>494</v>
      </c>
      <c r="B496">
        <f>B495+('Rachford-Rice-Solution'!$M$29-'Rachford-Rice-Solution'!$L$29)/999</f>
        <v>0.62350452362321918</v>
      </c>
      <c r="C496" cm="1">
        <f t="array" ref="C496">RR_Eq('Rachford-Rice-Solution'!$B$29,'Rachford-Rice-Solution'!$C$29,'Rachford-Rice-Solution'!$D$29,'Rachford-Rice-Solution'!$E$29,B496)</f>
        <v>-1.3781532140986772</v>
      </c>
    </row>
    <row r="497" spans="1:3" x14ac:dyDescent="0.35">
      <c r="A497">
        <v>495</v>
      </c>
      <c r="B497">
        <f>B496+('Rachford-Rice-Solution'!$M$29-'Rachford-Rice-Solution'!$L$29)/999</f>
        <v>0.62477202877421645</v>
      </c>
      <c r="C497" cm="1">
        <f t="array" ref="C497">RR_Eq('Rachford-Rice-Solution'!$B$29,'Rachford-Rice-Solution'!$C$29,'Rachford-Rice-Solution'!$D$29,'Rachford-Rice-Solution'!$E$29,B497)</f>
        <v>-1.3812494324428353</v>
      </c>
    </row>
    <row r="498" spans="1:3" x14ac:dyDescent="0.35">
      <c r="A498">
        <v>496</v>
      </c>
      <c r="B498">
        <f>B497+('Rachford-Rice-Solution'!$M$29-'Rachford-Rice-Solution'!$L$29)/999</f>
        <v>0.62603953392521372</v>
      </c>
      <c r="C498" cm="1">
        <f t="array" ref="C498">RR_Eq('Rachford-Rice-Solution'!$B$29,'Rachford-Rice-Solution'!$C$29,'Rachford-Rice-Solution'!$D$29,'Rachford-Rice-Solution'!$E$29,B498)</f>
        <v>-1.3843564507792223</v>
      </c>
    </row>
    <row r="499" spans="1:3" x14ac:dyDescent="0.35">
      <c r="A499">
        <v>497</v>
      </c>
      <c r="B499">
        <f>B498+('Rachford-Rice-Solution'!$M$29-'Rachford-Rice-Solution'!$L$29)/999</f>
        <v>0.62730703907621099</v>
      </c>
      <c r="C499" cm="1">
        <f t="array" ref="C499">RR_Eq('Rachford-Rice-Solution'!$B$29,'Rachford-Rice-Solution'!$C$29,'Rachford-Rice-Solution'!$D$29,'Rachford-Rice-Solution'!$E$29,B499)</f>
        <v>-1.3874743425306497</v>
      </c>
    </row>
    <row r="500" spans="1:3" x14ac:dyDescent="0.35">
      <c r="A500">
        <v>498</v>
      </c>
      <c r="B500">
        <f>B499+('Rachford-Rice-Solution'!$M$29-'Rachford-Rice-Solution'!$L$29)/999</f>
        <v>0.62857454422720827</v>
      </c>
      <c r="C500" cm="1">
        <f t="array" ref="C500">RR_Eq('Rachford-Rice-Solution'!$B$29,'Rachford-Rice-Solution'!$C$29,'Rachford-Rice-Solution'!$D$29,'Rachford-Rice-Solution'!$E$29,B500)</f>
        <v>-1.3906031816323159</v>
      </c>
    </row>
    <row r="501" spans="1:3" x14ac:dyDescent="0.35">
      <c r="A501">
        <v>499</v>
      </c>
      <c r="B501">
        <f>B500+('Rachford-Rice-Solution'!$M$29-'Rachford-Rice-Solution'!$L$29)/999</f>
        <v>0.62984204937820554</v>
      </c>
      <c r="C501" cm="1">
        <f t="array" ref="C501">RR_Eq('Rachford-Rice-Solution'!$B$29,'Rachford-Rice-Solution'!$C$29,'Rachford-Rice-Solution'!$D$29,'Rachford-Rice-Solution'!$E$29,B501)</f>
        <v>-1.3937430425376525</v>
      </c>
    </row>
    <row r="502" spans="1:3" x14ac:dyDescent="0.35">
      <c r="A502">
        <v>500</v>
      </c>
      <c r="B502">
        <f>B501+('Rachford-Rice-Solution'!$M$29-'Rachford-Rice-Solution'!$L$29)/999</f>
        <v>0.63110955452920281</v>
      </c>
      <c r="C502" cm="1">
        <f t="array" ref="C502">RR_Eq('Rachford-Rice-Solution'!$B$29,'Rachford-Rice-Solution'!$C$29,'Rachford-Rice-Solution'!$D$29,'Rachford-Rice-Solution'!$E$29,B502)</f>
        <v>-1.3968940002242309</v>
      </c>
    </row>
    <row r="503" spans="1:3" x14ac:dyDescent="0.35">
      <c r="A503">
        <v>501</v>
      </c>
      <c r="B503">
        <f>B502+('Rachford-Rice-Solution'!$M$29-'Rachford-Rice-Solution'!$L$29)/999</f>
        <v>0.63237705968020008</v>
      </c>
      <c r="C503" cm="1">
        <f t="array" ref="C503">RR_Eq('Rachford-Rice-Solution'!$B$29,'Rachford-Rice-Solution'!$C$29,'Rachford-Rice-Solution'!$D$29,'Rachford-Rice-Solution'!$E$29,B503)</f>
        <v>-1.400056130199727</v>
      </c>
    </row>
    <row r="504" spans="1:3" x14ac:dyDescent="0.35">
      <c r="A504">
        <v>502</v>
      </c>
      <c r="B504">
        <f>B503+('Rachford-Rice-Solution'!$M$29-'Rachford-Rice-Solution'!$L$29)/999</f>
        <v>0.63364456483119735</v>
      </c>
      <c r="C504" cm="1">
        <f t="array" ref="C504">RR_Eq('Rachford-Rice-Solution'!$B$29,'Rachford-Rice-Solution'!$C$29,'Rachford-Rice-Solution'!$D$29,'Rachford-Rice-Solution'!$E$29,B504)</f>
        <v>-1.4032295085079565</v>
      </c>
    </row>
    <row r="505" spans="1:3" x14ac:dyDescent="0.35">
      <c r="A505">
        <v>503</v>
      </c>
      <c r="B505">
        <f>B504+('Rachford-Rice-Solution'!$M$29-'Rachford-Rice-Solution'!$L$29)/999</f>
        <v>0.63491206998219463</v>
      </c>
      <c r="C505" cm="1">
        <f t="array" ref="C505">RR_Eq('Rachford-Rice-Solution'!$B$29,'Rachford-Rice-Solution'!$C$29,'Rachford-Rice-Solution'!$D$29,'Rachford-Rice-Solution'!$E$29,B505)</f>
        <v>-1.4064142117349694</v>
      </c>
    </row>
    <row r="506" spans="1:3" x14ac:dyDescent="0.35">
      <c r="A506">
        <v>504</v>
      </c>
      <c r="B506">
        <f>B505+('Rachford-Rice-Solution'!$M$29-'Rachford-Rice-Solution'!$L$29)/999</f>
        <v>0.6361795751331919</v>
      </c>
      <c r="C506" cm="1">
        <f t="array" ref="C506">RR_Eq('Rachford-Rice-Solution'!$B$29,'Rachford-Rice-Solution'!$C$29,'Rachford-Rice-Solution'!$D$29,'Rachford-Rice-Solution'!$E$29,B506)</f>
        <v>-1.4096103170152101</v>
      </c>
    </row>
    <row r="507" spans="1:3" x14ac:dyDescent="0.35">
      <c r="A507">
        <v>505</v>
      </c>
      <c r="B507">
        <f>B506+('Rachford-Rice-Solution'!$M$29-'Rachford-Rice-Solution'!$L$29)/999</f>
        <v>0.63744708028418917</v>
      </c>
      <c r="C507" cm="1">
        <f t="array" ref="C507">RR_Eq('Rachford-Rice-Solution'!$B$29,'Rachford-Rice-Solution'!$C$29,'Rachford-Rice-Solution'!$D$29,'Rachford-Rice-Solution'!$E$29,B507)</f>
        <v>-1.4128179020377467</v>
      </c>
    </row>
    <row r="508" spans="1:3" x14ac:dyDescent="0.35">
      <c r="A508">
        <v>506</v>
      </c>
      <c r="B508">
        <f>B507+('Rachford-Rice-Solution'!$M$29-'Rachford-Rice-Solution'!$L$29)/999</f>
        <v>0.63871458543518644</v>
      </c>
      <c r="C508" cm="1">
        <f t="array" ref="C508">RR_Eq('Rachford-Rice-Solution'!$B$29,'Rachford-Rice-Solution'!$C$29,'Rachford-Rice-Solution'!$D$29,'Rachford-Rice-Solution'!$E$29,B508)</f>
        <v>-1.416037045052565</v>
      </c>
    </row>
    <row r="509" spans="1:3" x14ac:dyDescent="0.35">
      <c r="A509">
        <v>507</v>
      </c>
      <c r="B509">
        <f>B508+('Rachford-Rice-Solution'!$M$29-'Rachford-Rice-Solution'!$L$29)/999</f>
        <v>0.63998209058618372</v>
      </c>
      <c r="C509" cm="1">
        <f t="array" ref="C509">RR_Eq('Rachford-Rice-Solution'!$B$29,'Rachford-Rice-Solution'!$C$29,'Rachford-Rice-Solution'!$D$29,'Rachford-Rice-Solution'!$E$29,B509)</f>
        <v>-1.4192678248769317</v>
      </c>
    </row>
    <row r="510" spans="1:3" x14ac:dyDescent="0.35">
      <c r="A510">
        <v>508</v>
      </c>
      <c r="B510">
        <f>B509+('Rachford-Rice-Solution'!$M$29-'Rachford-Rice-Solution'!$L$29)/999</f>
        <v>0.64124959573718099</v>
      </c>
      <c r="C510" cm="1">
        <f t="array" ref="C510">RR_Eq('Rachford-Rice-Solution'!$B$29,'Rachford-Rice-Solution'!$C$29,'Rachford-Rice-Solution'!$D$29,'Rachford-Rice-Solution'!$E$29,B510)</f>
        <v>-1.4225103209018295</v>
      </c>
    </row>
    <row r="511" spans="1:3" x14ac:dyDescent="0.35">
      <c r="A511">
        <v>509</v>
      </c>
      <c r="B511">
        <f>B510+('Rachford-Rice-Solution'!$M$29-'Rachford-Rice-Solution'!$L$29)/999</f>
        <v>0.64251710088817826</v>
      </c>
      <c r="C511" cm="1">
        <f t="array" ref="C511">RR_Eq('Rachford-Rice-Solution'!$B$29,'Rachford-Rice-Solution'!$C$29,'Rachford-Rice-Solution'!$D$29,'Rachford-Rice-Solution'!$E$29,B511)</f>
        <v>-1.425764613098458</v>
      </c>
    </row>
    <row r="512" spans="1:3" x14ac:dyDescent="0.35">
      <c r="A512">
        <v>510</v>
      </c>
      <c r="B512">
        <f>B511+('Rachford-Rice-Solution'!$M$29-'Rachford-Rice-Solution'!$L$29)/999</f>
        <v>0.64378460603917553</v>
      </c>
      <c r="C512" cm="1">
        <f t="array" ref="C512">RR_Eq('Rachford-Rice-Solution'!$B$29,'Rachford-Rice-Solution'!$C$29,'Rachford-Rice-Solution'!$D$29,'Rachford-Rice-Solution'!$E$29,B512)</f>
        <v>-1.4290307820248127</v>
      </c>
    </row>
    <row r="513" spans="1:3" x14ac:dyDescent="0.35">
      <c r="A513">
        <v>511</v>
      </c>
      <c r="B513">
        <f>B512+('Rachford-Rice-Solution'!$M$29-'Rachford-Rice-Solution'!$L$29)/999</f>
        <v>0.64505211119017281</v>
      </c>
      <c r="C513" cm="1">
        <f t="array" ref="C513">RR_Eq('Rachford-Rice-Solution'!$B$29,'Rachford-Rice-Solution'!$C$29,'Rachford-Rice-Solution'!$D$29,'Rachford-Rice-Solution'!$E$29,B513)</f>
        <v>-1.4323089088323302</v>
      </c>
    </row>
    <row r="514" spans="1:3" x14ac:dyDescent="0.35">
      <c r="A514">
        <v>512</v>
      </c>
      <c r="B514">
        <f>B513+('Rachford-Rice-Solution'!$M$29-'Rachford-Rice-Solution'!$L$29)/999</f>
        <v>0.64631961634117008</v>
      </c>
      <c r="C514" cm="1">
        <f t="array" ref="C514">RR_Eq('Rachford-Rice-Solution'!$B$29,'Rachford-Rice-Solution'!$C$29,'Rachford-Rice-Solution'!$D$29,'Rachford-Rice-Solution'!$E$29,B514)</f>
        <v>-1.4355990752726138</v>
      </c>
    </row>
    <row r="515" spans="1:3" x14ac:dyDescent="0.35">
      <c r="A515">
        <v>513</v>
      </c>
      <c r="B515">
        <f>B514+('Rachford-Rice-Solution'!$M$29-'Rachford-Rice-Solution'!$L$29)/999</f>
        <v>0.64758712149216735</v>
      </c>
      <c r="C515" cm="1">
        <f t="array" ref="C515">RR_Eq('Rachford-Rice-Solution'!$B$29,'Rachford-Rice-Solution'!$C$29,'Rachford-Rice-Solution'!$D$29,'Rachford-Rice-Solution'!$E$29,B515)</f>
        <v>-1.4389013637042294</v>
      </c>
    </row>
    <row r="516" spans="1:3" x14ac:dyDescent="0.35">
      <c r="A516">
        <v>514</v>
      </c>
      <c r="B516">
        <f>B515+('Rachford-Rice-Solution'!$M$29-'Rachford-Rice-Solution'!$L$29)/999</f>
        <v>0.64885462664316462</v>
      </c>
      <c r="C516" cm="1">
        <f t="array" ref="C516">RR_Eq('Rachford-Rice-Solution'!$B$29,'Rachford-Rice-Solution'!$C$29,'Rachford-Rice-Solution'!$D$29,'Rachford-Rice-Solution'!$E$29,B516)</f>
        <v>-1.4422158570995824</v>
      </c>
    </row>
    <row r="517" spans="1:3" x14ac:dyDescent="0.35">
      <c r="A517">
        <v>515</v>
      </c>
      <c r="B517">
        <f>B516+('Rachford-Rice-Solution'!$M$29-'Rachford-Rice-Solution'!$L$29)/999</f>
        <v>0.65012213179416189</v>
      </c>
      <c r="C517" cm="1">
        <f t="array" ref="C517">RR_Eq('Rachford-Rice-Solution'!$B$29,'Rachford-Rice-Solution'!$C$29,'Rachford-Rice-Solution'!$D$29,'Rachford-Rice-Solution'!$E$29,B517)</f>
        <v>-1.4455426390518673</v>
      </c>
    </row>
    <row r="518" spans="1:3" x14ac:dyDescent="0.35">
      <c r="A518">
        <v>516</v>
      </c>
      <c r="B518">
        <f>B517+('Rachford-Rice-Solution'!$M$29-'Rachford-Rice-Solution'!$L$29)/999</f>
        <v>0.65138963694515917</v>
      </c>
      <c r="C518" cm="1">
        <f t="array" ref="C518">RR_Eq('Rachford-Rice-Solution'!$B$29,'Rachford-Rice-Solution'!$C$29,'Rachford-Rice-Solution'!$D$29,'Rachford-Rice-Solution'!$E$29,B518)</f>
        <v>-1.4488817937821001</v>
      </c>
    </row>
    <row r="519" spans="1:3" x14ac:dyDescent="0.35">
      <c r="A519">
        <v>517</v>
      </c>
      <c r="B519">
        <f>B518+('Rachford-Rice-Solution'!$M$29-'Rachford-Rice-Solution'!$L$29)/999</f>
        <v>0.65265714209615644</v>
      </c>
      <c r="C519" cm="1">
        <f t="array" ref="C519">RR_Eq('Rachford-Rice-Solution'!$B$29,'Rachford-Rice-Solution'!$C$29,'Rachford-Rice-Solution'!$D$29,'Rachford-Rice-Solution'!$E$29,B519)</f>
        <v>-1.4522334061462301</v>
      </c>
    </row>
    <row r="520" spans="1:3" x14ac:dyDescent="0.35">
      <c r="A520">
        <v>518</v>
      </c>
      <c r="B520">
        <f>B519+('Rachford-Rice-Solution'!$M$29-'Rachford-Rice-Solution'!$L$29)/999</f>
        <v>0.65392464724715371</v>
      </c>
      <c r="C520" cm="1">
        <f t="array" ref="C520">RR_Eq('Rachford-Rice-Solution'!$B$29,'Rachford-Rice-Solution'!$C$29,'Rachford-Rice-Solution'!$D$29,'Rachford-Rice-Solution'!$E$29,B520)</f>
        <v>-1.4555975616423307</v>
      </c>
    </row>
    <row r="521" spans="1:3" x14ac:dyDescent="0.35">
      <c r="A521">
        <v>519</v>
      </c>
      <c r="B521">
        <f>B520+('Rachford-Rice-Solution'!$M$29-'Rachford-Rice-Solution'!$L$29)/999</f>
        <v>0.65519215239815098</v>
      </c>
      <c r="C521" cm="1">
        <f t="array" ref="C521">RR_Eq('Rachford-Rice-Solution'!$B$29,'Rachford-Rice-Solution'!$C$29,'Rachford-Rice-Solution'!$D$29,'Rachford-Rice-Solution'!$E$29,B521)</f>
        <v>-1.4589743464178759</v>
      </c>
    </row>
    <row r="522" spans="1:3" x14ac:dyDescent="0.35">
      <c r="A522">
        <v>520</v>
      </c>
      <c r="B522">
        <f>B521+('Rachford-Rice-Solution'!$M$29-'Rachford-Rice-Solution'!$L$29)/999</f>
        <v>0.65645965754914826</v>
      </c>
      <c r="C522" cm="1">
        <f t="array" ref="C522">RR_Eq('Rachford-Rice-Solution'!$B$29,'Rachford-Rice-Solution'!$C$29,'Rachford-Rice-Solution'!$D$29,'Rachford-Rice-Solution'!$E$29,B522)</f>
        <v>-1.4623638472771012</v>
      </c>
    </row>
    <row r="523" spans="1:3" x14ac:dyDescent="0.35">
      <c r="A523">
        <v>521</v>
      </c>
      <c r="B523">
        <f>B522+('Rachford-Rice-Solution'!$M$29-'Rachford-Rice-Solution'!$L$29)/999</f>
        <v>0.65772716270014553</v>
      </c>
      <c r="C523" cm="1">
        <f t="array" ref="C523">RR_Eq('Rachford-Rice-Solution'!$B$29,'Rachford-Rice-Solution'!$C$29,'Rachford-Rice-Solution'!$D$29,'Rachford-Rice-Solution'!$E$29,B523)</f>
        <v>-1.4657661516884446</v>
      </c>
    </row>
    <row r="524" spans="1:3" x14ac:dyDescent="0.35">
      <c r="A524">
        <v>522</v>
      </c>
      <c r="B524">
        <f>B523+('Rachford-Rice-Solution'!$M$29-'Rachford-Rice-Solution'!$L$29)/999</f>
        <v>0.6589946678511428</v>
      </c>
      <c r="C524" cm="1">
        <f t="array" ref="C524">RR_Eq('Rachford-Rice-Solution'!$B$29,'Rachford-Rice-Solution'!$C$29,'Rachford-Rice-Solution'!$D$29,'Rachford-Rice-Solution'!$E$29,B524)</f>
        <v>-1.4691813477920803</v>
      </c>
    </row>
    <row r="525" spans="1:3" x14ac:dyDescent="0.35">
      <c r="A525">
        <v>523</v>
      </c>
      <c r="B525">
        <f>B524+('Rachford-Rice-Solution'!$M$29-'Rachford-Rice-Solution'!$L$29)/999</f>
        <v>0.66026217300214007</v>
      </c>
      <c r="C525" cm="1">
        <f t="array" ref="C525">RR_Eq('Rachford-Rice-Solution'!$B$29,'Rachford-Rice-Solution'!$C$29,'Rachford-Rice-Solution'!$D$29,'Rachford-Rice-Solution'!$E$29,B525)</f>
        <v>-1.4726095244075375</v>
      </c>
    </row>
    <row r="526" spans="1:3" x14ac:dyDescent="0.35">
      <c r="A526">
        <v>524</v>
      </c>
      <c r="B526">
        <f>B525+('Rachford-Rice-Solution'!$M$29-'Rachford-Rice-Solution'!$L$29)/999</f>
        <v>0.66152967815313735</v>
      </c>
      <c r="C526" cm="1">
        <f t="array" ref="C526">RR_Eq('Rachford-Rice-Solution'!$B$29,'Rachford-Rice-Solution'!$C$29,'Rachford-Rice-Solution'!$D$29,'Rachford-Rice-Solution'!$E$29,B526)</f>
        <v>-1.4760507710414092</v>
      </c>
    </row>
    <row r="527" spans="1:3" x14ac:dyDescent="0.35">
      <c r="A527">
        <v>525</v>
      </c>
      <c r="B527">
        <f>B526+('Rachford-Rice-Solution'!$M$29-'Rachford-Rice-Solution'!$L$29)/999</f>
        <v>0.66279718330413462</v>
      </c>
      <c r="C527" cm="1">
        <f t="array" ref="C527">RR_Eq('Rachford-Rice-Solution'!$B$29,'Rachford-Rice-Solution'!$C$29,'Rachford-Rice-Solution'!$D$29,'Rachford-Rice-Solution'!$E$29,B527)</f>
        <v>-1.4795051778951505</v>
      </c>
    </row>
    <row r="528" spans="1:3" x14ac:dyDescent="0.35">
      <c r="A528">
        <v>526</v>
      </c>
      <c r="B528">
        <f>B527+('Rachford-Rice-Solution'!$M$29-'Rachford-Rice-Solution'!$L$29)/999</f>
        <v>0.66406468845513189</v>
      </c>
      <c r="C528" cm="1">
        <f t="array" ref="C528">RR_Eq('Rachford-Rice-Solution'!$B$29,'Rachford-Rice-Solution'!$C$29,'Rachford-Rice-Solution'!$D$29,'Rachford-Rice-Solution'!$E$29,B528)</f>
        <v>-1.4829728358729728</v>
      </c>
    </row>
    <row r="529" spans="1:3" x14ac:dyDescent="0.35">
      <c r="A529">
        <v>527</v>
      </c>
      <c r="B529">
        <f>B528+('Rachford-Rice-Solution'!$M$29-'Rachford-Rice-Solution'!$L$29)/999</f>
        <v>0.66533219360612916</v>
      </c>
      <c r="C529" cm="1">
        <f t="array" ref="C529">RR_Eq('Rachford-Rice-Solution'!$B$29,'Rachford-Rice-Solution'!$C$29,'Rachford-Rice-Solution'!$D$29,'Rachford-Rice-Solution'!$E$29,B529)</f>
        <v>-1.4864538365898261</v>
      </c>
    </row>
    <row r="530" spans="1:3" x14ac:dyDescent="0.35">
      <c r="A530">
        <v>528</v>
      </c>
      <c r="B530">
        <f>B529+('Rachford-Rice-Solution'!$M$29-'Rachford-Rice-Solution'!$L$29)/999</f>
        <v>0.66659969875712644</v>
      </c>
      <c r="C530" cm="1">
        <f t="array" ref="C530">RR_Eq('Rachford-Rice-Solution'!$B$29,'Rachford-Rice-Solution'!$C$29,'Rachford-Rice-Solution'!$D$29,'Rachford-Rice-Solution'!$E$29,B530)</f>
        <v>-1.4899482723794821</v>
      </c>
    </row>
    <row r="531" spans="1:3" x14ac:dyDescent="0.35">
      <c r="A531">
        <v>529</v>
      </c>
      <c r="B531">
        <f>B530+('Rachford-Rice-Solution'!$M$29-'Rachford-Rice-Solution'!$L$29)/999</f>
        <v>0.66786720390812371</v>
      </c>
      <c r="C531" cm="1">
        <f t="array" ref="C531">RR_Eq('Rachford-Rice-Solution'!$B$29,'Rachford-Rice-Solution'!$C$29,'Rachford-Rice-Solution'!$D$29,'Rachford-Rice-Solution'!$E$29,B531)</f>
        <v>-1.4934562363027093</v>
      </c>
    </row>
    <row r="532" spans="1:3" x14ac:dyDescent="0.35">
      <c r="A532">
        <v>530</v>
      </c>
      <c r="B532">
        <f>B531+('Rachford-Rice-Solution'!$M$29-'Rachford-Rice-Solution'!$L$29)/999</f>
        <v>0.66913470905912098</v>
      </c>
      <c r="C532" cm="1">
        <f t="array" ref="C532">RR_Eq('Rachford-Rice-Solution'!$B$29,'Rachford-Rice-Solution'!$C$29,'Rachford-Rice-Solution'!$D$29,'Rachford-Rice-Solution'!$E$29,B532)</f>
        <v>-1.4969778221555505</v>
      </c>
    </row>
    <row r="533" spans="1:3" x14ac:dyDescent="0.35">
      <c r="A533">
        <v>531</v>
      </c>
      <c r="B533">
        <f>B532+('Rachford-Rice-Solution'!$M$29-'Rachford-Rice-Solution'!$L$29)/999</f>
        <v>0.67040221421011825</v>
      </c>
      <c r="C533" cm="1">
        <f t="array" ref="C533">RR_Eq('Rachford-Rice-Solution'!$B$29,'Rachford-Rice-Solution'!$C$29,'Rachford-Rice-Solution'!$D$29,'Rachford-Rice-Solution'!$E$29,B533)</f>
        <v>-1.5005131244776952</v>
      </c>
    </row>
    <row r="534" spans="1:3" x14ac:dyDescent="0.35">
      <c r="A534">
        <v>532</v>
      </c>
      <c r="B534">
        <f>B533+('Rachford-Rice-Solution'!$M$29-'Rachford-Rice-Solution'!$L$29)/999</f>
        <v>0.67166971936111552</v>
      </c>
      <c r="C534" cm="1">
        <f t="array" ref="C534">RR_Eq('Rachford-Rice-Solution'!$B$29,'Rachford-Rice-Solution'!$C$29,'Rachford-Rice-Solution'!$D$29,'Rachford-Rice-Solution'!$E$29,B534)</f>
        <v>-1.5040622385609599</v>
      </c>
    </row>
    <row r="535" spans="1:3" x14ac:dyDescent="0.35">
      <c r="A535">
        <v>533</v>
      </c>
      <c r="B535">
        <f>B534+('Rachford-Rice-Solution'!$M$29-'Rachford-Rice-Solution'!$L$29)/999</f>
        <v>0.6729372245121128</v>
      </c>
      <c r="C535" cm="1">
        <f t="array" ref="C535">RR_Eq('Rachford-Rice-Solution'!$B$29,'Rachford-Rice-Solution'!$C$29,'Rachford-Rice-Solution'!$D$29,'Rachford-Rice-Solution'!$E$29,B535)</f>
        <v>-1.507625260457863</v>
      </c>
    </row>
    <row r="536" spans="1:3" x14ac:dyDescent="0.35">
      <c r="A536">
        <v>534</v>
      </c>
      <c r="B536">
        <f>B535+('Rachford-Rice-Solution'!$M$29-'Rachford-Rice-Solution'!$L$29)/999</f>
        <v>0.67420472966311007</v>
      </c>
      <c r="C536" cm="1">
        <f t="array" ref="C536">RR_Eq('Rachford-Rice-Solution'!$B$29,'Rachford-Rice-Solution'!$C$29,'Rachford-Rice-Solution'!$D$29,'Rachford-Rice-Solution'!$E$29,B536)</f>
        <v>-1.5112022869903117</v>
      </c>
    </row>
    <row r="537" spans="1:3" x14ac:dyDescent="0.35">
      <c r="A537">
        <v>535</v>
      </c>
      <c r="B537">
        <f>B536+('Rachford-Rice-Solution'!$M$29-'Rachford-Rice-Solution'!$L$29)/999</f>
        <v>0.67547223481410734</v>
      </c>
      <c r="C537" cm="1">
        <f t="array" ref="C537">RR_Eq('Rachford-Rice-Solution'!$B$29,'Rachford-Rice-Solution'!$C$29,'Rachford-Rice-Solution'!$D$29,'Rachford-Rice-Solution'!$E$29,B537)</f>
        <v>-1.5147934157583907</v>
      </c>
    </row>
    <row r="538" spans="1:3" x14ac:dyDescent="0.35">
      <c r="A538">
        <v>536</v>
      </c>
      <c r="B538">
        <f>B537+('Rachford-Rice-Solution'!$M$29-'Rachford-Rice-Solution'!$L$29)/999</f>
        <v>0.67673973996510461</v>
      </c>
      <c r="C538" cm="1">
        <f t="array" ref="C538">RR_Eq('Rachford-Rice-Solution'!$B$29,'Rachford-Rice-Solution'!$C$29,'Rachford-Rice-Solution'!$D$29,'Rachford-Rice-Solution'!$E$29,B538)</f>
        <v>-1.51839874514926</v>
      </c>
    </row>
    <row r="539" spans="1:3" x14ac:dyDescent="0.35">
      <c r="A539">
        <v>537</v>
      </c>
      <c r="B539">
        <f>B538+('Rachford-Rice-Solution'!$M$29-'Rachford-Rice-Solution'!$L$29)/999</f>
        <v>0.67800724511610189</v>
      </c>
      <c r="C539" cm="1">
        <f t="array" ref="C539">RR_Eq('Rachford-Rice-Solution'!$B$29,'Rachford-Rice-Solution'!$C$29,'Rachford-Rice-Solution'!$D$29,'Rachford-Rice-Solution'!$E$29,B539)</f>
        <v>-1.5220183743461628</v>
      </c>
    </row>
    <row r="540" spans="1:3" x14ac:dyDescent="0.35">
      <c r="A540">
        <v>538</v>
      </c>
      <c r="B540">
        <f>B539+('Rachford-Rice-Solution'!$M$29-'Rachford-Rice-Solution'!$L$29)/999</f>
        <v>0.67927475026709916</v>
      </c>
      <c r="C540" cm="1">
        <f t="array" ref="C540">RR_Eq('Rachford-Rice-Solution'!$B$29,'Rachford-Rice-Solution'!$C$29,'Rachford-Rice-Solution'!$D$29,'Rachford-Rice-Solution'!$E$29,B540)</f>
        <v>-1.5256524033375447</v>
      </c>
    </row>
    <row r="541" spans="1:3" x14ac:dyDescent="0.35">
      <c r="A541">
        <v>539</v>
      </c>
      <c r="B541">
        <f>B540+('Rachford-Rice-Solution'!$M$29-'Rachford-Rice-Solution'!$L$29)/999</f>
        <v>0.68054225541809643</v>
      </c>
      <c r="C541" cm="1">
        <f t="array" ref="C541">RR_Eq('Rachford-Rice-Solution'!$B$29,'Rachford-Rice-Solution'!$C$29,'Rachford-Rice-Solution'!$D$29,'Rachford-Rice-Solution'!$E$29,B541)</f>
        <v>-1.5293009329262843</v>
      </c>
    </row>
    <row r="542" spans="1:3" x14ac:dyDescent="0.35">
      <c r="A542">
        <v>540</v>
      </c>
      <c r="B542">
        <f>B541+('Rachford-Rice-Solution'!$M$29-'Rachford-Rice-Solution'!$L$29)/999</f>
        <v>0.6818097605690937</v>
      </c>
      <c r="C542" cm="1">
        <f t="array" ref="C542">RR_Eq('Rachford-Rice-Solution'!$B$29,'Rachford-Rice-Solution'!$C$29,'Rachford-Rice-Solution'!$D$29,'Rachford-Rice-Solution'!$E$29,B542)</f>
        <v>-1.5329640647390395</v>
      </c>
    </row>
    <row r="543" spans="1:3" x14ac:dyDescent="0.35">
      <c r="A543">
        <v>541</v>
      </c>
      <c r="B543">
        <f>B542+('Rachford-Rice-Solution'!$M$29-'Rachford-Rice-Solution'!$L$29)/999</f>
        <v>0.68307726572009098</v>
      </c>
      <c r="C543" cm="1">
        <f t="array" ref="C543">RR_Eq('Rachford-Rice-Solution'!$B$29,'Rachford-Rice-Solution'!$C$29,'Rachford-Rice-Solution'!$D$29,'Rachford-Rice-Solution'!$E$29,B543)</f>
        <v>-1.5366419012357129</v>
      </c>
    </row>
    <row r="544" spans="1:3" x14ac:dyDescent="0.35">
      <c r="A544">
        <v>542</v>
      </c>
      <c r="B544">
        <f>B543+('Rachford-Rice-Solution'!$M$29-'Rachford-Rice-Solution'!$L$29)/999</f>
        <v>0.68434477087108825</v>
      </c>
      <c r="C544" cm="1">
        <f t="array" ref="C544">RR_Eq('Rachford-Rice-Solution'!$B$29,'Rachford-Rice-Solution'!$C$29,'Rachford-Rice-Solution'!$D$29,'Rachford-Rice-Solution'!$E$29,B544)</f>
        <v>-1.5403345457190309</v>
      </c>
    </row>
    <row r="545" spans="1:3" x14ac:dyDescent="0.35">
      <c r="A545">
        <v>543</v>
      </c>
      <c r="B545">
        <f>B544+('Rachford-Rice-Solution'!$M$29-'Rachford-Rice-Solution'!$L$29)/999</f>
        <v>0.68561227602208552</v>
      </c>
      <c r="C545" cm="1">
        <f t="array" ref="C545">RR_Eq('Rachford-Rice-Solution'!$B$29,'Rachford-Rice-Solution'!$C$29,'Rachford-Rice-Solution'!$D$29,'Rachford-Rice-Solution'!$E$29,B545)</f>
        <v>-1.5440421023442485</v>
      </c>
    </row>
    <row r="546" spans="1:3" x14ac:dyDescent="0.35">
      <c r="A546">
        <v>544</v>
      </c>
      <c r="B546">
        <f>B545+('Rachford-Rice-Solution'!$M$29-'Rachford-Rice-Solution'!$L$29)/999</f>
        <v>0.68687978117308279</v>
      </c>
      <c r="C546" cm="1">
        <f t="array" ref="C546">RR_Eq('Rachford-Rice-Solution'!$B$29,'Rachford-Rice-Solution'!$C$29,'Rachford-Rice-Solution'!$D$29,'Rachford-Rice-Solution'!$E$29,B546)</f>
        <v>-1.5477646761289723</v>
      </c>
    </row>
    <row r="547" spans="1:3" x14ac:dyDescent="0.35">
      <c r="A547">
        <v>545</v>
      </c>
      <c r="B547">
        <f>B546+('Rachford-Rice-Solution'!$M$29-'Rachford-Rice-Solution'!$L$29)/999</f>
        <v>0.68814728632408007</v>
      </c>
      <c r="C547" cm="1">
        <f t="array" ref="C547">RR_Eq('Rachford-Rice-Solution'!$B$29,'Rachford-Rice-Solution'!$C$29,'Rachford-Rice-Solution'!$D$29,'Rachford-Rice-Solution'!$E$29,B547)</f>
        <v>-1.5515023729631099</v>
      </c>
    </row>
    <row r="548" spans="1:3" x14ac:dyDescent="0.35">
      <c r="A548">
        <v>546</v>
      </c>
      <c r="B548">
        <f>B547+('Rachford-Rice-Solution'!$M$29-'Rachford-Rice-Solution'!$L$29)/999</f>
        <v>0.68941479147507734</v>
      </c>
      <c r="C548" cm="1">
        <f t="array" ref="C548">RR_Eq('Rachford-Rice-Solution'!$B$29,'Rachford-Rice-Solution'!$C$29,'Rachford-Rice-Solution'!$D$29,'Rachford-Rice-Solution'!$E$29,B548)</f>
        <v>-1.5552552996189437</v>
      </c>
    </row>
    <row r="549" spans="1:3" x14ac:dyDescent="0.35">
      <c r="A549">
        <v>547</v>
      </c>
      <c r="B549">
        <f>B548+('Rachford-Rice-Solution'!$M$29-'Rachford-Rice-Solution'!$L$29)/999</f>
        <v>0.69068229662607461</v>
      </c>
      <c r="C549" cm="1">
        <f t="array" ref="C549">RR_Eq('Rachford-Rice-Solution'!$B$29,'Rachford-Rice-Solution'!$C$29,'Rachford-Rice-Solution'!$D$29,'Rachford-Rice-Solution'!$E$29,B549)</f>
        <v>-1.559023563761337</v>
      </c>
    </row>
    <row r="550" spans="1:3" x14ac:dyDescent="0.35">
      <c r="A550">
        <v>548</v>
      </c>
      <c r="B550">
        <f>B549+('Rachford-Rice-Solution'!$M$29-'Rachford-Rice-Solution'!$L$29)/999</f>
        <v>0.69194980177707188</v>
      </c>
      <c r="C550" cm="1">
        <f t="array" ref="C550">RR_Eq('Rachford-Rice-Solution'!$B$29,'Rachford-Rice-Solution'!$C$29,'Rachford-Rice-Solution'!$D$29,'Rachford-Rice-Solution'!$E$29,B550)</f>
        <v>-1.5628072739580652</v>
      </c>
    </row>
    <row r="551" spans="1:3" x14ac:dyDescent="0.35">
      <c r="A551">
        <v>549</v>
      </c>
      <c r="B551">
        <f>B550+('Rachford-Rice-Solution'!$M$29-'Rachford-Rice-Solution'!$L$29)/999</f>
        <v>0.69321730692806915</v>
      </c>
      <c r="C551" cm="1">
        <f t="array" ref="C551">RR_Eq('Rachford-Rice-Solution'!$B$29,'Rachford-Rice-Solution'!$C$29,'Rachford-Rice-Solution'!$D$29,'Rachford-Rice-Solution'!$E$29,B551)</f>
        <v>-1.5666065396902831</v>
      </c>
    </row>
    <row r="552" spans="1:3" x14ac:dyDescent="0.35">
      <c r="A552">
        <v>550</v>
      </c>
      <c r="B552">
        <f>B551+('Rachford-Rice-Solution'!$M$29-'Rachford-Rice-Solution'!$L$29)/999</f>
        <v>0.69448481207906643</v>
      </c>
      <c r="C552" cm="1">
        <f t="array" ref="C552">RR_Eq('Rachford-Rice-Solution'!$B$29,'Rachford-Rice-Solution'!$C$29,'Rachford-Rice-Solution'!$D$29,'Rachford-Rice-Solution'!$E$29,B552)</f>
        <v>-1.5704214713631266</v>
      </c>
    </row>
    <row r="553" spans="1:3" x14ac:dyDescent="0.35">
      <c r="A553">
        <v>551</v>
      </c>
      <c r="B553">
        <f>B552+('Rachford-Rice-Solution'!$M$29-'Rachford-Rice-Solution'!$L$29)/999</f>
        <v>0.6957523172300637</v>
      </c>
      <c r="C553" cm="1">
        <f t="array" ref="C553">RR_Eq('Rachford-Rice-Solution'!$B$29,'Rachford-Rice-Solution'!$C$29,'Rachford-Rice-Solution'!$D$29,'Rachford-Rice-Solution'!$E$29,B553)</f>
        <v>-1.5742521803164475</v>
      </c>
    </row>
    <row r="554" spans="1:3" x14ac:dyDescent="0.35">
      <c r="A554">
        <v>552</v>
      </c>
      <c r="B554">
        <f>B553+('Rachford-Rice-Solution'!$M$29-'Rachford-Rice-Solution'!$L$29)/999</f>
        <v>0.69701982238106097</v>
      </c>
      <c r="C554" cm="1">
        <f t="array" ref="C554">RR_Eq('Rachford-Rice-Solution'!$B$29,'Rachford-Rice-Solution'!$C$29,'Rachford-Rice-Solution'!$D$29,'Rachford-Rice-Solution'!$E$29,B554)</f>
        <v>-1.5780987788356928</v>
      </c>
    </row>
    <row r="555" spans="1:3" x14ac:dyDescent="0.35">
      <c r="A555">
        <v>553</v>
      </c>
      <c r="B555">
        <f>B554+('Rachford-Rice-Solution'!$M$29-'Rachford-Rice-Solution'!$L$29)/999</f>
        <v>0.69828732753205824</v>
      </c>
      <c r="C555" cm="1">
        <f t="array" ref="C555">RR_Eq('Rachford-Rice-Solution'!$B$29,'Rachford-Rice-Solution'!$C$29,'Rachford-Rice-Solution'!$D$29,'Rachford-Rice-Solution'!$E$29,B555)</f>
        <v>-1.5819613801629193</v>
      </c>
    </row>
    <row r="556" spans="1:3" x14ac:dyDescent="0.35">
      <c r="A556">
        <v>554</v>
      </c>
      <c r="B556">
        <f>B555+('Rachford-Rice-Solution'!$M$29-'Rachford-Rice-Solution'!$L$29)/999</f>
        <v>0.69955483268305552</v>
      </c>
      <c r="C556" cm="1">
        <f t="array" ref="C556">RR_Eq('Rachford-Rice-Solution'!$B$29,'Rachford-Rice-Solution'!$C$29,'Rachford-Rice-Solution'!$D$29,'Rachford-Rice-Solution'!$E$29,B556)</f>
        <v>-1.5858400985079577</v>
      </c>
    </row>
    <row r="557" spans="1:3" x14ac:dyDescent="0.35">
      <c r="A557">
        <v>555</v>
      </c>
      <c r="B557">
        <f>B556+('Rachford-Rice-Solution'!$M$29-'Rachford-Rice-Solution'!$L$29)/999</f>
        <v>0.70082233783405279</v>
      </c>
      <c r="C557" cm="1">
        <f t="array" ref="C557">RR_Eq('Rachford-Rice-Solution'!$B$29,'Rachford-Rice-Solution'!$C$29,'Rachford-Rice-Solution'!$D$29,'Rachford-Rice-Solution'!$E$29,B557)</f>
        <v>-1.5897350490597166</v>
      </c>
    </row>
    <row r="558" spans="1:3" x14ac:dyDescent="0.35">
      <c r="A558">
        <v>556</v>
      </c>
      <c r="B558">
        <f>B557+('Rachford-Rice-Solution'!$M$29-'Rachford-Rice-Solution'!$L$29)/999</f>
        <v>0.70208984298505006</v>
      </c>
      <c r="C558" cm="1">
        <f t="array" ref="C558">RR_Eq('Rachford-Rice-Solution'!$B$29,'Rachford-Rice-Solution'!$C$29,'Rachford-Rice-Solution'!$D$29,'Rachford-Rice-Solution'!$E$29,B558)</f>
        <v>-1.593646347997639</v>
      </c>
    </row>
    <row r="559" spans="1:3" x14ac:dyDescent="0.35">
      <c r="A559">
        <v>557</v>
      </c>
      <c r="B559">
        <f>B558+('Rachford-Rice-Solution'!$M$29-'Rachford-Rice-Solution'!$L$29)/999</f>
        <v>0.70335734813604733</v>
      </c>
      <c r="C559" cm="1">
        <f t="array" ref="C559">RR_Eq('Rachford-Rice-Solution'!$B$29,'Rachford-Rice-Solution'!$C$29,'Rachford-Rice-Solution'!$D$29,'Rachford-Rice-Solution'!$E$29,B559)</f>
        <v>-1.5975741125033069</v>
      </c>
    </row>
    <row r="560" spans="1:3" x14ac:dyDescent="0.35">
      <c r="A560">
        <v>558</v>
      </c>
      <c r="B560">
        <f>B559+('Rachford-Rice-Solution'!$M$29-'Rachford-Rice-Solution'!$L$29)/999</f>
        <v>0.70462485328704461</v>
      </c>
      <c r="C560" cm="1">
        <f t="array" ref="C560">RR_Eq('Rachford-Rice-Solution'!$B$29,'Rachford-Rice-Solution'!$C$29,'Rachford-Rice-Solution'!$D$29,'Rachford-Rice-Solution'!$E$29,B560)</f>
        <v>-1.6015184607721995</v>
      </c>
    </row>
    <row r="561" spans="1:3" x14ac:dyDescent="0.35">
      <c r="A561">
        <v>559</v>
      </c>
      <c r="B561">
        <f>B560+('Rachford-Rice-Solution'!$M$29-'Rachford-Rice-Solution'!$L$29)/999</f>
        <v>0.70589235843804188</v>
      </c>
      <c r="C561" cm="1">
        <f t="array" ref="C561">RR_Eq('Rachford-Rice-Solution'!$B$29,'Rachford-Rice-Solution'!$C$29,'Rachford-Rice-Solution'!$D$29,'Rachford-Rice-Solution'!$E$29,B561)</f>
        <v>-1.6054795120256065</v>
      </c>
    </row>
    <row r="562" spans="1:3" x14ac:dyDescent="0.35">
      <c r="A562">
        <v>560</v>
      </c>
      <c r="B562">
        <f>B561+('Rachford-Rice-Solution'!$M$29-'Rachford-Rice-Solution'!$L$29)/999</f>
        <v>0.70715986358903915</v>
      </c>
      <c r="C562" cm="1">
        <f t="array" ref="C562">RR_Eq('Rachford-Rice-Solution'!$B$29,'Rachford-Rice-Solution'!$C$29,'Rachford-Rice-Solution'!$D$29,'Rachford-Rice-Solution'!$E$29,B562)</f>
        <v>-1.6094573865227009</v>
      </c>
    </row>
    <row r="563" spans="1:3" x14ac:dyDescent="0.35">
      <c r="A563">
        <v>561</v>
      </c>
      <c r="B563">
        <f>B562+('Rachford-Rice-Solution'!$M$29-'Rachford-Rice-Solution'!$L$29)/999</f>
        <v>0.70842736874003642</v>
      </c>
      <c r="C563" cm="1">
        <f t="array" ref="C563">RR_Eq('Rachford-Rice-Solution'!$B$29,'Rachford-Rice-Solution'!$C$29,'Rachford-Rice-Solution'!$D$29,'Rachford-Rice-Solution'!$E$29,B563)</f>
        <v>-1.6134522055727698</v>
      </c>
    </row>
    <row r="564" spans="1:3" x14ac:dyDescent="0.35">
      <c r="A564">
        <v>562</v>
      </c>
      <c r="B564">
        <f>B563+('Rachford-Rice-Solution'!$M$29-'Rachford-Rice-Solution'!$L$29)/999</f>
        <v>0.7096948738910337</v>
      </c>
      <c r="C564" cm="1">
        <f t="array" ref="C564">RR_Eq('Rachford-Rice-Solution'!$B$29,'Rachford-Rice-Solution'!$C$29,'Rachford-Rice-Solution'!$D$29,'Rachford-Rice-Solution'!$E$29,B564)</f>
        <v>-1.6174640915476117</v>
      </c>
    </row>
    <row r="565" spans="1:3" x14ac:dyDescent="0.35">
      <c r="A565">
        <v>563</v>
      </c>
      <c r="B565">
        <f>B564+('Rachford-Rice-Solution'!$M$29-'Rachford-Rice-Solution'!$L$29)/999</f>
        <v>0.71096237904203097</v>
      </c>
      <c r="C565" cm="1">
        <f t="array" ref="C565">RR_Eq('Rachford-Rice-Solution'!$B$29,'Rachford-Rice-Solution'!$C$29,'Rachford-Rice-Solution'!$D$29,'Rachford-Rice-Solution'!$E$29,B565)</f>
        <v>-1.6214931678940949</v>
      </c>
    </row>
    <row r="566" spans="1:3" x14ac:dyDescent="0.35">
      <c r="A566">
        <v>564</v>
      </c>
      <c r="B566">
        <f>B565+('Rachford-Rice-Solution'!$M$29-'Rachford-Rice-Solution'!$L$29)/999</f>
        <v>0.71222988419302824</v>
      </c>
      <c r="C566" cm="1">
        <f t="array" ref="C566">RR_Eq('Rachford-Rice-Solution'!$B$29,'Rachford-Rice-Solution'!$C$29,'Rachford-Rice-Solution'!$D$29,'Rachford-Rice-Solution'!$E$29,B566)</f>
        <v>-1.6255395591468895</v>
      </c>
    </row>
    <row r="567" spans="1:3" x14ac:dyDescent="0.35">
      <c r="A567">
        <v>565</v>
      </c>
      <c r="B567">
        <f>B566+('Rachford-Rice-Solution'!$M$29-'Rachford-Rice-Solution'!$L$29)/999</f>
        <v>0.71349738934402551</v>
      </c>
      <c r="C567" cm="1">
        <f t="array" ref="C567">RR_Eq('Rachford-Rice-Solution'!$B$29,'Rachford-Rice-Solution'!$C$29,'Rachford-Rice-Solution'!$D$29,'Rachford-Rice-Solution'!$E$29,B567)</f>
        <v>-1.6296033909413672</v>
      </c>
    </row>
    <row r="568" spans="1:3" x14ac:dyDescent="0.35">
      <c r="A568">
        <v>566</v>
      </c>
      <c r="B568">
        <f>B567+('Rachford-Rice-Solution'!$M$29-'Rachford-Rice-Solution'!$L$29)/999</f>
        <v>0.71476489449502278</v>
      </c>
      <c r="C568" cm="1">
        <f t="array" ref="C568">RR_Eq('Rachford-Rice-Solution'!$B$29,'Rachford-Rice-Solution'!$C$29,'Rachford-Rice-Solution'!$D$29,'Rachford-Rice-Solution'!$E$29,B568)</f>
        <v>-1.6336847900266764</v>
      </c>
    </row>
    <row r="569" spans="1:3" x14ac:dyDescent="0.35">
      <c r="A569">
        <v>567</v>
      </c>
      <c r="B569">
        <f>B568+('Rachford-Rice-Solution'!$M$29-'Rachford-Rice-Solution'!$L$29)/999</f>
        <v>0.71603239964602006</v>
      </c>
      <c r="C569" cm="1">
        <f t="array" ref="C569">RR_Eq('Rachford-Rice-Solution'!$B$29,'Rachford-Rice-Solution'!$C$29,'Rachford-Rice-Solution'!$D$29,'Rachford-Rice-Solution'!$E$29,B569)</f>
        <v>-1.6377838842789949</v>
      </c>
    </row>
    <row r="570" spans="1:3" x14ac:dyDescent="0.35">
      <c r="A570">
        <v>568</v>
      </c>
      <c r="B570">
        <f>B569+('Rachford-Rice-Solution'!$M$29-'Rachford-Rice-Solution'!$L$29)/999</f>
        <v>0.71729990479701733</v>
      </c>
      <c r="C570" cm="1">
        <f t="array" ref="C570">RR_Eq('Rachford-Rice-Solution'!$B$29,'Rachford-Rice-Solution'!$C$29,'Rachford-Rice-Solution'!$D$29,'Rachford-Rice-Solution'!$E$29,B570)</f>
        <v>-1.6419008027149629</v>
      </c>
    </row>
    <row r="571" spans="1:3" x14ac:dyDescent="0.35">
      <c r="A571">
        <v>569</v>
      </c>
      <c r="B571">
        <f>B570+('Rachford-Rice-Solution'!$M$29-'Rachford-Rice-Solution'!$L$29)/999</f>
        <v>0.7185674099480146</v>
      </c>
      <c r="C571" cm="1">
        <f t="array" ref="C571">RR_Eq('Rachford-Rice-Solution'!$B$29,'Rachford-Rice-Solution'!$C$29,'Rachford-Rice-Solution'!$D$29,'Rachford-Rice-Solution'!$E$29,B571)</f>
        <v>-1.6460356755052945</v>
      </c>
    </row>
    <row r="572" spans="1:3" x14ac:dyDescent="0.35">
      <c r="A572">
        <v>570</v>
      </c>
      <c r="B572">
        <f>B571+('Rachford-Rice-Solution'!$M$29-'Rachford-Rice-Solution'!$L$29)/999</f>
        <v>0.71983491509901187</v>
      </c>
      <c r="C572" cm="1">
        <f t="array" ref="C572">RR_Eq('Rachford-Rice-Solution'!$B$29,'Rachford-Rice-Solution'!$C$29,'Rachford-Rice-Solution'!$D$29,'Rachford-Rice-Solution'!$E$29,B572)</f>
        <v>-1.6501886339885825</v>
      </c>
    </row>
    <row r="573" spans="1:3" x14ac:dyDescent="0.35">
      <c r="A573">
        <v>571</v>
      </c>
      <c r="B573">
        <f>B572+('Rachford-Rice-Solution'!$M$29-'Rachford-Rice-Solution'!$L$29)/999</f>
        <v>0.72110242025000915</v>
      </c>
      <c r="C573" cm="1">
        <f t="array" ref="C573">RR_Eq('Rachford-Rice-Solution'!$B$29,'Rachford-Rice-Solution'!$C$29,'Rachford-Rice-Solution'!$D$29,'Rachford-Rice-Solution'!$E$29,B573)</f>
        <v>-1.6543598106852853</v>
      </c>
    </row>
    <row r="574" spans="1:3" x14ac:dyDescent="0.35">
      <c r="A574">
        <v>572</v>
      </c>
      <c r="B574">
        <f>B573+('Rachford-Rice-Solution'!$M$29-'Rachford-Rice-Solution'!$L$29)/999</f>
        <v>0.72236992540100642</v>
      </c>
      <c r="C574" cm="1">
        <f t="array" ref="C574">RR_Eq('Rachford-Rice-Solution'!$B$29,'Rachford-Rice-Solution'!$C$29,'Rachford-Rice-Solution'!$D$29,'Rachford-Rice-Solution'!$E$29,B574)</f>
        <v>-1.6585493393119102</v>
      </c>
    </row>
    <row r="575" spans="1:3" x14ac:dyDescent="0.35">
      <c r="A575">
        <v>573</v>
      </c>
      <c r="B575">
        <f>B574+('Rachford-Rice-Solution'!$M$29-'Rachford-Rice-Solution'!$L$29)/999</f>
        <v>0.72363743055200369</v>
      </c>
      <c r="C575" cm="1">
        <f t="array" ref="C575">RR_Eq('Rachford-Rice-Solution'!$B$29,'Rachford-Rice-Solution'!$C$29,'Rachford-Rice-Solution'!$D$29,'Rachford-Rice-Solution'!$E$29,B575)</f>
        <v>-1.6627573547953904</v>
      </c>
    </row>
    <row r="576" spans="1:3" x14ac:dyDescent="0.35">
      <c r="A576">
        <v>574</v>
      </c>
      <c r="B576">
        <f>B575+('Rachford-Rice-Solution'!$M$29-'Rachford-Rice-Solution'!$L$29)/999</f>
        <v>0.72490493570300096</v>
      </c>
      <c r="C576" cm="1">
        <f t="array" ref="C576">RR_Eq('Rachford-Rice-Solution'!$B$29,'Rachford-Rice-Solution'!$C$29,'Rachford-Rice-Solution'!$D$29,'Rachford-Rice-Solution'!$E$29,B576)</f>
        <v>-1.6669839932876618</v>
      </c>
    </row>
    <row r="577" spans="1:3" x14ac:dyDescent="0.35">
      <c r="A577">
        <v>575</v>
      </c>
      <c r="B577">
        <f>B576+('Rachford-Rice-Solution'!$M$29-'Rachford-Rice-Solution'!$L$29)/999</f>
        <v>0.72617244085399824</v>
      </c>
      <c r="C577" cm="1">
        <f t="array" ref="C577">RR_Eq('Rachford-Rice-Solution'!$B$29,'Rachford-Rice-Solution'!$C$29,'Rachford-Rice-Solution'!$D$29,'Rachford-Rice-Solution'!$E$29,B577)</f>
        <v>-1.6712293921804386</v>
      </c>
    </row>
    <row r="578" spans="1:3" x14ac:dyDescent="0.35">
      <c r="A578">
        <v>576</v>
      </c>
      <c r="B578">
        <f>B577+('Rachford-Rice-Solution'!$M$29-'Rachford-Rice-Solution'!$L$29)/999</f>
        <v>0.72743994600499551</v>
      </c>
      <c r="C578" cm="1">
        <f t="array" ref="C578">RR_Eq('Rachford-Rice-Solution'!$B$29,'Rachford-Rice-Solution'!$C$29,'Rachford-Rice-Solution'!$D$29,'Rachford-Rice-Solution'!$E$29,B578)</f>
        <v>-1.6754936901201982</v>
      </c>
    </row>
    <row r="579" spans="1:3" x14ac:dyDescent="0.35">
      <c r="A579">
        <v>577</v>
      </c>
      <c r="B579">
        <f>B578+('Rachford-Rice-Solution'!$M$29-'Rachford-Rice-Solution'!$L$29)/999</f>
        <v>0.72870745115599278</v>
      </c>
      <c r="C579" cm="1">
        <f t="array" ref="C579">RR_Eq('Rachford-Rice-Solution'!$B$29,'Rachford-Rice-Solution'!$C$29,'Rachford-Rice-Solution'!$D$29,'Rachford-Rice-Solution'!$E$29,B579)</f>
        <v>-1.6797770270233725</v>
      </c>
    </row>
    <row r="580" spans="1:3" x14ac:dyDescent="0.35">
      <c r="A580">
        <v>578</v>
      </c>
      <c r="B580">
        <f>B579+('Rachford-Rice-Solution'!$M$29-'Rachford-Rice-Solution'!$L$29)/999</f>
        <v>0.72997495630699005</v>
      </c>
      <c r="C580" cm="1">
        <f t="array" ref="C580">RR_Eq('Rachford-Rice-Solution'!$B$29,'Rachford-Rice-Solution'!$C$29,'Rachford-Rice-Solution'!$D$29,'Rachford-Rice-Solution'!$E$29,B580)</f>
        <v>-1.6840795440917518</v>
      </c>
    </row>
    <row r="581" spans="1:3" x14ac:dyDescent="0.35">
      <c r="A581">
        <v>579</v>
      </c>
      <c r="B581">
        <f>B580+('Rachford-Rice-Solution'!$M$29-'Rachford-Rice-Solution'!$L$29)/999</f>
        <v>0.73124246145798732</v>
      </c>
      <c r="C581" cm="1">
        <f t="array" ref="C581">RR_Eq('Rachford-Rice-Solution'!$B$29,'Rachford-Rice-Solution'!$C$29,'Rachford-Rice-Solution'!$D$29,'Rachford-Rice-Solution'!$E$29,B581)</f>
        <v>-1.688401383828104</v>
      </c>
    </row>
    <row r="582" spans="1:3" x14ac:dyDescent="0.35">
      <c r="A582">
        <v>580</v>
      </c>
      <c r="B582">
        <f>B581+('Rachford-Rice-Solution'!$M$29-'Rachford-Rice-Solution'!$L$29)/999</f>
        <v>0.7325099666089846</v>
      </c>
      <c r="C582" cm="1">
        <f t="array" ref="C582">RR_Eq('Rachford-Rice-Solution'!$B$29,'Rachford-Rice-Solution'!$C$29,'Rachford-Rice-Solution'!$D$29,'Rachford-Rice-Solution'!$E$29,B582)</f>
        <v>-1.6927426900520171</v>
      </c>
    </row>
    <row r="583" spans="1:3" x14ac:dyDescent="0.35">
      <c r="A583">
        <v>581</v>
      </c>
      <c r="B583">
        <f>B582+('Rachford-Rice-Solution'!$M$29-'Rachford-Rice-Solution'!$L$29)/999</f>
        <v>0.73377747175998187</v>
      </c>
      <c r="C583" cm="1">
        <f t="array" ref="C583">RR_Eq('Rachford-Rice-Solution'!$B$29,'Rachford-Rice-Solution'!$C$29,'Rachford-Rice-Solution'!$D$29,'Rachford-Rice-Solution'!$E$29,B583)</f>
        <v>-1.6971036079159567</v>
      </c>
    </row>
    <row r="584" spans="1:3" x14ac:dyDescent="0.35">
      <c r="A584">
        <v>582</v>
      </c>
      <c r="B584">
        <f>B583+('Rachford-Rice-Solution'!$M$29-'Rachford-Rice-Solution'!$L$29)/999</f>
        <v>0.73504497691097914</v>
      </c>
      <c r="C584" cm="1">
        <f t="array" ref="C584">RR_Eq('Rachford-Rice-Solution'!$B$29,'Rachford-Rice-Solution'!$C$29,'Rachford-Rice-Solution'!$D$29,'Rachford-Rice-Solution'!$E$29,B584)</f>
        <v>-1.7014842839215598</v>
      </c>
    </row>
    <row r="585" spans="1:3" x14ac:dyDescent="0.35">
      <c r="A585">
        <v>583</v>
      </c>
      <c r="B585">
        <f>B584+('Rachford-Rice-Solution'!$M$29-'Rachford-Rice-Solution'!$L$29)/999</f>
        <v>0.73631248206197641</v>
      </c>
      <c r="C585" cm="1">
        <f t="array" ref="C585">RR_Eq('Rachford-Rice-Solution'!$B$29,'Rachford-Rice-Solution'!$C$29,'Rachford-Rice-Solution'!$D$29,'Rachford-Rice-Solution'!$E$29,B585)</f>
        <v>-1.7058848659361521</v>
      </c>
    </row>
    <row r="586" spans="1:3" x14ac:dyDescent="0.35">
      <c r="A586">
        <v>584</v>
      </c>
      <c r="B586">
        <f>B585+('Rachford-Rice-Solution'!$M$29-'Rachford-Rice-Solution'!$L$29)/999</f>
        <v>0.73757998721297369</v>
      </c>
      <c r="C586" cm="1">
        <f t="array" ref="C586">RR_Eq('Rachford-Rice-Solution'!$B$29,'Rachford-Rice-Solution'!$C$29,'Rachford-Rice-Solution'!$D$29,'Rachford-Rice-Solution'!$E$29,B586)</f>
        <v>-1.7103055032095049</v>
      </c>
    </row>
    <row r="587" spans="1:3" x14ac:dyDescent="0.35">
      <c r="A587">
        <v>585</v>
      </c>
      <c r="B587">
        <f>B586+('Rachford-Rice-Solution'!$M$29-'Rachford-Rice-Solution'!$L$29)/999</f>
        <v>0.73884749236397096</v>
      </c>
      <c r="C587" cm="1">
        <f t="array" ref="C587">RR_Eq('Rachford-Rice-Solution'!$B$29,'Rachford-Rice-Solution'!$C$29,'Rachford-Rice-Solution'!$D$29,'Rachford-Rice-Solution'!$E$29,B587)</f>
        <v>-1.7147463463908281</v>
      </c>
    </row>
    <row r="588" spans="1:3" x14ac:dyDescent="0.35">
      <c r="A588">
        <v>586</v>
      </c>
      <c r="B588">
        <f>B587+('Rachford-Rice-Solution'!$M$29-'Rachford-Rice-Solution'!$L$29)/999</f>
        <v>0.74011499751496823</v>
      </c>
      <c r="C588" cm="1">
        <f t="array" ref="C588">RR_Eq('Rachford-Rice-Solution'!$B$29,'Rachford-Rice-Solution'!$C$29,'Rachford-Rice-Solution'!$D$29,'Rachford-Rice-Solution'!$E$29,B588)</f>
        <v>-1.7192075475460065</v>
      </c>
    </row>
    <row r="589" spans="1:3" x14ac:dyDescent="0.35">
      <c r="A589">
        <v>587</v>
      </c>
      <c r="B589">
        <f>B588+('Rachford-Rice-Solution'!$M$29-'Rachford-Rice-Solution'!$L$29)/999</f>
        <v>0.7413825026659655</v>
      </c>
      <c r="C589" cm="1">
        <f t="array" ref="C589">RR_Eq('Rachford-Rice-Solution'!$B$29,'Rachford-Rice-Solution'!$C$29,'Rachford-Rice-Solution'!$D$29,'Rachford-Rice-Solution'!$E$29,B589)</f>
        <v>-1.7236892601750848</v>
      </c>
    </row>
    <row r="590" spans="1:3" x14ac:dyDescent="0.35">
      <c r="A590">
        <v>588</v>
      </c>
      <c r="B590">
        <f>B589+('Rachford-Rice-Solution'!$M$29-'Rachford-Rice-Solution'!$L$29)/999</f>
        <v>0.74265000781696278</v>
      </c>
      <c r="C590" cm="1">
        <f t="array" ref="C590">RR_Eq('Rachford-Rice-Solution'!$B$29,'Rachford-Rice-Solution'!$C$29,'Rachford-Rice-Solution'!$D$29,'Rachford-Rice-Solution'!$E$29,B590)</f>
        <v>-1.7281916392299994</v>
      </c>
    </row>
    <row r="591" spans="1:3" x14ac:dyDescent="0.35">
      <c r="A591">
        <v>589</v>
      </c>
      <c r="B591">
        <f>B590+('Rachford-Rice-Solution'!$M$29-'Rachford-Rice-Solution'!$L$29)/999</f>
        <v>0.74391751296796005</v>
      </c>
      <c r="C591" cm="1">
        <f t="array" ref="C591">RR_Eq('Rachford-Rice-Solution'!$B$29,'Rachford-Rice-Solution'!$C$29,'Rachford-Rice-Solution'!$D$29,'Rachford-Rice-Solution'!$E$29,B591)</f>
        <v>-1.7327148411325717</v>
      </c>
    </row>
    <row r="592" spans="1:3" x14ac:dyDescent="0.35">
      <c r="A592">
        <v>590</v>
      </c>
      <c r="B592">
        <f>B591+('Rachford-Rice-Solution'!$M$29-'Rachford-Rice-Solution'!$L$29)/999</f>
        <v>0.74518501811895732</v>
      </c>
      <c r="C592" cm="1">
        <f t="array" ref="C592">RR_Eq('Rachford-Rice-Solution'!$B$29,'Rachford-Rice-Solution'!$C$29,'Rachford-Rice-Solution'!$D$29,'Rachford-Rice-Solution'!$E$29,B592)</f>
        <v>-1.7372590237927559</v>
      </c>
    </row>
    <row r="593" spans="1:3" x14ac:dyDescent="0.35">
      <c r="A593">
        <v>591</v>
      </c>
      <c r="B593">
        <f>B592+('Rachford-Rice-Solution'!$M$29-'Rachford-Rice-Solution'!$L$29)/999</f>
        <v>0.74645252326995459</v>
      </c>
      <c r="C593" cm="1">
        <f t="array" ref="C593">RR_Eq('Rachford-Rice-Solution'!$B$29,'Rachford-Rice-Solution'!$C$29,'Rachford-Rice-Solution'!$D$29,'Rachford-Rice-Solution'!$E$29,B593)</f>
        <v>-1.7418243466271559</v>
      </c>
    </row>
    <row r="594" spans="1:3" x14ac:dyDescent="0.35">
      <c r="A594">
        <v>592</v>
      </c>
      <c r="B594">
        <f>B593+('Rachford-Rice-Solution'!$M$29-'Rachford-Rice-Solution'!$L$29)/999</f>
        <v>0.74772002842095187</v>
      </c>
      <c r="C594" cm="1">
        <f t="array" ref="C594">RR_Eq('Rachford-Rice-Solution'!$B$29,'Rachford-Rice-Solution'!$C$29,'Rachford-Rice-Solution'!$D$29,'Rachford-Rice-Solution'!$E$29,B594)</f>
        <v>-1.7464109705778059</v>
      </c>
    </row>
    <row r="595" spans="1:3" x14ac:dyDescent="0.35">
      <c r="A595">
        <v>593</v>
      </c>
      <c r="B595">
        <f>B594+('Rachford-Rice-Solution'!$M$29-'Rachford-Rice-Solution'!$L$29)/999</f>
        <v>0.74898753357194914</v>
      </c>
      <c r="C595" cm="1">
        <f t="array" ref="C595">RR_Eq('Rachford-Rice-Solution'!$B$29,'Rachford-Rice-Solution'!$C$29,'Rachford-Rice-Solution'!$D$29,'Rachford-Rice-Solution'!$E$29,B595)</f>
        <v>-1.7510190581312319</v>
      </c>
    </row>
    <row r="596" spans="1:3" x14ac:dyDescent="0.35">
      <c r="A596">
        <v>594</v>
      </c>
      <c r="B596">
        <f>B595+('Rachford-Rice-Solution'!$M$29-'Rachford-Rice-Solution'!$L$29)/999</f>
        <v>0.75025503872294641</v>
      </c>
      <c r="C596" cm="1">
        <f t="array" ref="C596">RR_Eq('Rachford-Rice-Solution'!$B$29,'Rachford-Rice-Solution'!$C$29,'Rachford-Rice-Solution'!$D$29,'Rachford-Rice-Solution'!$E$29,B596)</f>
        <v>-1.7556487733377824</v>
      </c>
    </row>
    <row r="597" spans="1:3" x14ac:dyDescent="0.35">
      <c r="A597">
        <v>595</v>
      </c>
      <c r="B597">
        <f>B596+('Rachford-Rice-Solution'!$M$29-'Rachford-Rice-Solution'!$L$29)/999</f>
        <v>0.75152254387394368</v>
      </c>
      <c r="C597" cm="1">
        <f t="array" ref="C597">RR_Eq('Rachford-Rice-Solution'!$B$29,'Rachford-Rice-Solution'!$C$29,'Rachford-Rice-Solution'!$D$29,'Rachford-Rice-Solution'!$E$29,B597)</f>
        <v>-1.7603002818312516</v>
      </c>
    </row>
    <row r="598" spans="1:3" x14ac:dyDescent="0.35">
      <c r="A598">
        <v>596</v>
      </c>
      <c r="B598">
        <f>B597+('Rachford-Rice-Solution'!$M$29-'Rachford-Rice-Solution'!$L$29)/999</f>
        <v>0.75279004902494095</v>
      </c>
      <c r="C598" cm="1">
        <f t="array" ref="C598">RR_Eq('Rachford-Rice-Solution'!$B$29,'Rachford-Rice-Solution'!$C$29,'Rachford-Rice-Solution'!$D$29,'Rachford-Rice-Solution'!$E$29,B598)</f>
        <v>-1.7649737508487833</v>
      </c>
    </row>
    <row r="599" spans="1:3" x14ac:dyDescent="0.35">
      <c r="A599">
        <v>597</v>
      </c>
      <c r="B599">
        <f>B598+('Rachford-Rice-Solution'!$M$29-'Rachford-Rice-Solution'!$L$29)/999</f>
        <v>0.75405755417593823</v>
      </c>
      <c r="C599" cm="1">
        <f t="array" ref="C599">RR_Eq('Rachford-Rice-Solution'!$B$29,'Rachford-Rice-Solution'!$C$29,'Rachford-Rice-Solution'!$D$29,'Rachford-Rice-Solution'!$E$29,B599)</f>
        <v>-1.7696693492510733</v>
      </c>
    </row>
    <row r="600" spans="1:3" x14ac:dyDescent="0.35">
      <c r="A600">
        <v>598</v>
      </c>
      <c r="B600">
        <f>B599+('Rachford-Rice-Solution'!$M$29-'Rachford-Rice-Solution'!$L$29)/999</f>
        <v>0.7553250593269355</v>
      </c>
      <c r="C600" cm="1">
        <f t="array" ref="C600">RR_Eq('Rachford-Rice-Solution'!$B$29,'Rachford-Rice-Solution'!$C$29,'Rachford-Rice-Solution'!$D$29,'Rachford-Rice-Solution'!$E$29,B600)</f>
        <v>-1.7743872475428679</v>
      </c>
    </row>
    <row r="601" spans="1:3" x14ac:dyDescent="0.35">
      <c r="A601">
        <v>599</v>
      </c>
      <c r="B601">
        <f>B600+('Rachford-Rice-Solution'!$M$29-'Rachford-Rice-Solution'!$L$29)/999</f>
        <v>0.75659256447793277</v>
      </c>
      <c r="C601" cm="1">
        <f t="array" ref="C601">RR_Eq('Rachford-Rice-Solution'!$B$29,'Rachford-Rice-Solution'!$C$29,'Rachford-Rice-Solution'!$D$29,'Rachford-Rice-Solution'!$E$29,B601)</f>
        <v>-1.7791276178937663</v>
      </c>
    </row>
    <row r="602" spans="1:3" x14ac:dyDescent="0.35">
      <c r="A602">
        <v>600</v>
      </c>
      <c r="B602">
        <f>B601+('Rachford-Rice-Solution'!$M$29-'Rachford-Rice-Solution'!$L$29)/999</f>
        <v>0.75786006962893004</v>
      </c>
      <c r="C602" cm="1">
        <f t="array" ref="C602">RR_Eq('Rachford-Rice-Solution'!$B$29,'Rachford-Rice-Solution'!$C$29,'Rachford-Rice-Solution'!$D$29,'Rachford-Rice-Solution'!$E$29,B602)</f>
        <v>-1.7838906341593308</v>
      </c>
    </row>
    <row r="603" spans="1:3" x14ac:dyDescent="0.35">
      <c r="A603">
        <v>601</v>
      </c>
      <c r="B603">
        <f>B602+('Rachford-Rice-Solution'!$M$29-'Rachford-Rice-Solution'!$L$29)/999</f>
        <v>0.75912757477992732</v>
      </c>
      <c r="C603" cm="1">
        <f t="array" ref="C603">RR_Eq('Rachford-Rice-Solution'!$B$29,'Rachford-Rice-Solution'!$C$29,'Rachford-Rice-Solution'!$D$29,'Rachford-Rice-Solution'!$E$29,B603)</f>
        <v>-1.7886764719025148</v>
      </c>
    </row>
    <row r="604" spans="1:3" x14ac:dyDescent="0.35">
      <c r="A604">
        <v>602</v>
      </c>
      <c r="B604">
        <f>B603+('Rachford-Rice-Solution'!$M$29-'Rachford-Rice-Solution'!$L$29)/999</f>
        <v>0.76039507993092459</v>
      </c>
      <c r="C604" cm="1">
        <f t="array" ref="C604">RR_Eq('Rachford-Rice-Solution'!$B$29,'Rachford-Rice-Solution'!$C$29,'Rachford-Rice-Solution'!$D$29,'Rachford-Rice-Solution'!$E$29,B604)</f>
        <v>-1.7934853084154063</v>
      </c>
    </row>
    <row r="605" spans="1:3" x14ac:dyDescent="0.35">
      <c r="A605">
        <v>603</v>
      </c>
      <c r="B605">
        <f>B604+('Rachford-Rice-Solution'!$M$29-'Rachford-Rice-Solution'!$L$29)/999</f>
        <v>0.76166258508192186</v>
      </c>
      <c r="C605" cm="1">
        <f t="array" ref="C605">RR_Eq('Rachford-Rice-Solution'!$B$29,'Rachford-Rice-Solution'!$C$29,'Rachford-Rice-Solution'!$D$29,'Rachford-Rice-Solution'!$E$29,B605)</f>
        <v>-1.7983173227413018</v>
      </c>
    </row>
    <row r="606" spans="1:3" x14ac:dyDescent="0.35">
      <c r="A606">
        <v>604</v>
      </c>
      <c r="B606">
        <f>B605+('Rachford-Rice-Solution'!$M$29-'Rachford-Rice-Solution'!$L$29)/999</f>
        <v>0.76293009023291913</v>
      </c>
      <c r="C606" cm="1">
        <f t="array" ref="C606">RR_Eq('Rachford-Rice-Solution'!$B$29,'Rachford-Rice-Solution'!$C$29,'Rachford-Rice-Solution'!$D$29,'Rachford-Rice-Solution'!$E$29,B606)</f>
        <v>-1.8031726956971073</v>
      </c>
    </row>
    <row r="607" spans="1:3" x14ac:dyDescent="0.35">
      <c r="A607">
        <v>605</v>
      </c>
      <c r="B607">
        <f>B606+('Rachford-Rice-Solution'!$M$29-'Rachford-Rice-Solution'!$L$29)/999</f>
        <v>0.76419759538391641</v>
      </c>
      <c r="C607" cm="1">
        <f t="array" ref="C607">RR_Eq('Rachford-Rice-Solution'!$B$29,'Rachford-Rice-Solution'!$C$29,'Rachford-Rice-Solution'!$D$29,'Rachford-Rice-Solution'!$E$29,B607)</f>
        <v>-1.8080516098960819</v>
      </c>
    </row>
    <row r="608" spans="1:3" x14ac:dyDescent="0.35">
      <c r="A608">
        <v>606</v>
      </c>
      <c r="B608">
        <f>B607+('Rachford-Rice-Solution'!$M$29-'Rachford-Rice-Solution'!$L$29)/999</f>
        <v>0.76546510053491368</v>
      </c>
      <c r="C608" cm="1">
        <f t="array" ref="C608">RR_Eq('Rachford-Rice-Solution'!$B$29,'Rachford-Rice-Solution'!$C$29,'Rachford-Rice-Solution'!$D$29,'Rachford-Rice-Solution'!$E$29,B608)</f>
        <v>-1.8129542497709172</v>
      </c>
    </row>
    <row r="609" spans="1:3" x14ac:dyDescent="0.35">
      <c r="A609">
        <v>607</v>
      </c>
      <c r="B609">
        <f>B608+('Rachford-Rice-Solution'!$M$29-'Rachford-Rice-Solution'!$L$29)/999</f>
        <v>0.76673260568591095</v>
      </c>
      <c r="C609" cm="1">
        <f t="array" ref="C609">RR_Eq('Rachford-Rice-Solution'!$B$29,'Rachford-Rice-Solution'!$C$29,'Rachford-Rice-Solution'!$D$29,'Rachford-Rice-Solution'!$E$29,B609)</f>
        <v>-1.8178808015971744</v>
      </c>
    </row>
    <row r="610" spans="1:3" x14ac:dyDescent="0.35">
      <c r="A610">
        <v>608</v>
      </c>
      <c r="B610">
        <f>B609+('Rachford-Rice-Solution'!$M$29-'Rachford-Rice-Solution'!$L$29)/999</f>
        <v>0.76800011083690822</v>
      </c>
      <c r="C610" cm="1">
        <f t="array" ref="C610">RR_Eq('Rachford-Rice-Solution'!$B$29,'Rachford-Rice-Solution'!$C$29,'Rachford-Rice-Solution'!$D$29,'Rachford-Rice-Solution'!$E$29,B610)</f>
        <v>-1.8228314535170722</v>
      </c>
    </row>
    <row r="611" spans="1:3" x14ac:dyDescent="0.35">
      <c r="A611">
        <v>609</v>
      </c>
      <c r="B611">
        <f>B610+('Rachford-Rice-Solution'!$M$29-'Rachford-Rice-Solution'!$L$29)/999</f>
        <v>0.7692676159879055</v>
      </c>
      <c r="C611" cm="1">
        <f t="array" ref="C611">RR_Eq('Rachford-Rice-Solution'!$B$29,'Rachford-Rice-Solution'!$C$29,'Rachford-Rice-Solution'!$D$29,'Rachford-Rice-Solution'!$E$29,B611)</f>
        <v>-1.8278063955636381</v>
      </c>
    </row>
    <row r="612" spans="1:3" x14ac:dyDescent="0.35">
      <c r="A612">
        <v>610</v>
      </c>
      <c r="B612">
        <f>B611+('Rachford-Rice-Solution'!$M$29-'Rachford-Rice-Solution'!$L$29)/999</f>
        <v>0.77053512113890277</v>
      </c>
      <c r="C612" cm="1">
        <f t="array" ref="C612">RR_Eq('Rachford-Rice-Solution'!$B$29,'Rachford-Rice-Solution'!$C$29,'Rachford-Rice-Solution'!$D$29,'Rachford-Rice-Solution'!$E$29,B612)</f>
        <v>-1.832805819685229</v>
      </c>
    </row>
    <row r="613" spans="1:3" x14ac:dyDescent="0.35">
      <c r="A613">
        <v>611</v>
      </c>
      <c r="B613">
        <f>B612+('Rachford-Rice-Solution'!$M$29-'Rachford-Rice-Solution'!$L$29)/999</f>
        <v>0.77180262628990004</v>
      </c>
      <c r="C613" cm="1">
        <f t="array" ref="C613">RR_Eq('Rachford-Rice-Solution'!$B$29,'Rachford-Rice-Solution'!$C$29,'Rachford-Rice-Solution'!$D$29,'Rachford-Rice-Solution'!$E$29,B613)</f>
        <v>-1.8378299197704289</v>
      </c>
    </row>
    <row r="614" spans="1:3" x14ac:dyDescent="0.35">
      <c r="A614">
        <v>612</v>
      </c>
      <c r="B614">
        <f>B613+('Rachford-Rice-Solution'!$M$29-'Rachford-Rice-Solution'!$L$29)/999</f>
        <v>0.77307013144089731</v>
      </c>
      <c r="C614" cm="1">
        <f t="array" ref="C614">RR_Eq('Rachford-Rice-Solution'!$B$29,'Rachford-Rice-Solution'!$C$29,'Rachford-Rice-Solution'!$D$29,'Rachford-Rice-Solution'!$E$29,B614)</f>
        <v>-1.8428788916733234</v>
      </c>
    </row>
    <row r="615" spans="1:3" x14ac:dyDescent="0.35">
      <c r="A615">
        <v>613</v>
      </c>
      <c r="B615">
        <f>B614+('Rachford-Rice-Solution'!$M$29-'Rachford-Rice-Solution'!$L$29)/999</f>
        <v>0.77433763659189458</v>
      </c>
      <c r="C615" cm="1">
        <f t="array" ref="C615">RR_Eq('Rachford-Rice-Solution'!$B$29,'Rachford-Rice-Solution'!$C$29,'Rachford-Rice-Solution'!$D$29,'Rachford-Rice-Solution'!$E$29,B615)</f>
        <v>-1.8479529332391691</v>
      </c>
    </row>
    <row r="616" spans="1:3" x14ac:dyDescent="0.35">
      <c r="A616">
        <v>614</v>
      </c>
      <c r="B616">
        <f>B615+('Rachford-Rice-Solution'!$M$29-'Rachford-Rice-Solution'!$L$29)/999</f>
        <v>0.77560514174289186</v>
      </c>
      <c r="C616" cm="1">
        <f t="array" ref="C616">RR_Eq('Rachford-Rice-Solution'!$B$29,'Rachford-Rice-Solution'!$C$29,'Rachford-Rice-Solution'!$D$29,'Rachford-Rice-Solution'!$E$29,B616)</f>
        <v>-1.8530522443304571</v>
      </c>
    </row>
    <row r="617" spans="1:3" x14ac:dyDescent="0.35">
      <c r="A617">
        <v>615</v>
      </c>
      <c r="B617">
        <f>B616+('Rachford-Rice-Solution'!$M$29-'Rachford-Rice-Solution'!$L$29)/999</f>
        <v>0.77687264689388913</v>
      </c>
      <c r="C617" cm="1">
        <f t="array" ref="C617">RR_Eq('Rachford-Rice-Solution'!$B$29,'Rachford-Rice-Solution'!$C$29,'Rachford-Rice-Solution'!$D$29,'Rachford-Rice-Solution'!$E$29,B617)</f>
        <v>-1.8581770268533797</v>
      </c>
    </row>
    <row r="618" spans="1:3" x14ac:dyDescent="0.35">
      <c r="A618">
        <v>616</v>
      </c>
      <c r="B618">
        <f>B617+('Rachford-Rice-Solution'!$M$29-'Rachford-Rice-Solution'!$L$29)/999</f>
        <v>0.7781401520448864</v>
      </c>
      <c r="C618" cm="1">
        <f t="array" ref="C618">RR_Eq('Rachford-Rice-Solution'!$B$29,'Rachford-Rice-Solution'!$C$29,'Rachford-Rice-Solution'!$D$29,'Rachford-Rice-Solution'!$E$29,B618)</f>
        <v>-1.8633274847847081</v>
      </c>
    </row>
    <row r="619" spans="1:3" x14ac:dyDescent="0.35">
      <c r="A619">
        <v>617</v>
      </c>
      <c r="B619">
        <f>B618+('Rachford-Rice-Solution'!$M$29-'Rachford-Rice-Solution'!$L$29)/999</f>
        <v>0.77940765719588367</v>
      </c>
      <c r="C619" cm="1">
        <f t="array" ref="C619">RR_Eq('Rachford-Rice-Solution'!$B$29,'Rachford-Rice-Solution'!$C$29,'Rachford-Rice-Solution'!$D$29,'Rachford-Rice-Solution'!$E$29,B619)</f>
        <v>-1.8685038241990901</v>
      </c>
    </row>
    <row r="620" spans="1:3" x14ac:dyDescent="0.35">
      <c r="A620">
        <v>618</v>
      </c>
      <c r="B620">
        <f>B619+('Rachford-Rice-Solution'!$M$29-'Rachford-Rice-Solution'!$L$29)/999</f>
        <v>0.78067516234688095</v>
      </c>
      <c r="C620" cm="1">
        <f t="array" ref="C620">RR_Eq('Rachford-Rice-Solution'!$B$29,'Rachford-Rice-Solution'!$C$29,'Rachford-Rice-Solution'!$D$29,'Rachford-Rice-Solution'!$E$29,B620)</f>
        <v>-1.8737062532967717</v>
      </c>
    </row>
    <row r="621" spans="1:3" x14ac:dyDescent="0.35">
      <c r="A621">
        <v>619</v>
      </c>
      <c r="B621">
        <f>B620+('Rachford-Rice-Solution'!$M$29-'Rachford-Rice-Solution'!$L$29)/999</f>
        <v>0.78194266749787822</v>
      </c>
      <c r="C621" cm="1">
        <f t="array" ref="C621">RR_Eq('Rachford-Rice-Solution'!$B$29,'Rachford-Rice-Solution'!$C$29,'Rachford-Rice-Solution'!$D$29,'Rachford-Rice-Solution'!$E$29,B621)</f>
        <v>-1.8789349824317527</v>
      </c>
    </row>
    <row r="622" spans="1:3" x14ac:dyDescent="0.35">
      <c r="A622">
        <v>620</v>
      </c>
      <c r="B622">
        <f>B621+('Rachford-Rice-Solution'!$M$29-'Rachford-Rice-Solution'!$L$29)/999</f>
        <v>0.78321017264887549</v>
      </c>
      <c r="C622" cm="1">
        <f t="array" ref="C622">RR_Eq('Rachford-Rice-Solution'!$B$29,'Rachford-Rice-Solution'!$C$29,'Rachford-Rice-Solution'!$D$29,'Rachford-Rice-Solution'!$E$29,B622)</f>
        <v>-1.8841902241403876</v>
      </c>
    </row>
    <row r="623" spans="1:3" x14ac:dyDescent="0.35">
      <c r="A623">
        <v>621</v>
      </c>
      <c r="B623">
        <f>B622+('Rachford-Rice-Solution'!$M$29-'Rachford-Rice-Solution'!$L$29)/999</f>
        <v>0.78447767779987276</v>
      </c>
      <c r="C623" cm="1">
        <f t="array" ref="C623">RR_Eq('Rachford-Rice-Solution'!$B$29,'Rachford-Rice-Solution'!$C$29,'Rachford-Rice-Solution'!$D$29,'Rachford-Rice-Solution'!$E$29,B623)</f>
        <v>-1.8894721931704328</v>
      </c>
    </row>
    <row r="624" spans="1:3" x14ac:dyDescent="0.35">
      <c r="A624">
        <v>622</v>
      </c>
      <c r="B624">
        <f>B623+('Rachford-Rice-Solution'!$M$29-'Rachford-Rice-Solution'!$L$29)/999</f>
        <v>0.78574518295087004</v>
      </c>
      <c r="C624" cm="1">
        <f t="array" ref="C624">RR_Eq('Rachford-Rice-Solution'!$B$29,'Rachford-Rice-Solution'!$C$29,'Rachford-Rice-Solution'!$D$29,'Rachford-Rice-Solution'!$E$29,B624)</f>
        <v>-1.8947811065105544</v>
      </c>
    </row>
    <row r="625" spans="1:3" x14ac:dyDescent="0.35">
      <c r="A625">
        <v>623</v>
      </c>
      <c r="B625">
        <f>B624+('Rachford-Rice-Solution'!$M$29-'Rachford-Rice-Solution'!$L$29)/999</f>
        <v>0.78701268810186731</v>
      </c>
      <c r="C625" cm="1">
        <f t="array" ref="C625">RR_Eq('Rachford-Rice-Solution'!$B$29,'Rachford-Rice-Solution'!$C$29,'Rachford-Rice-Solution'!$D$29,'Rachford-Rice-Solution'!$E$29,B625)</f>
        <v>-1.9001171834203043</v>
      </c>
    </row>
    <row r="626" spans="1:3" x14ac:dyDescent="0.35">
      <c r="A626">
        <v>624</v>
      </c>
      <c r="B626">
        <f>B625+('Rachford-Rice-Solution'!$M$29-'Rachford-Rice-Solution'!$L$29)/999</f>
        <v>0.78828019325286458</v>
      </c>
      <c r="C626" cm="1">
        <f t="array" ref="C626">RR_Eq('Rachford-Rice-Solution'!$B$29,'Rachford-Rice-Solution'!$C$29,'Rachford-Rice-Solution'!$D$29,'Rachford-Rice-Solution'!$E$29,B626)</f>
        <v>-1.9054806454605682</v>
      </c>
    </row>
    <row r="627" spans="1:3" x14ac:dyDescent="0.35">
      <c r="A627">
        <v>625</v>
      </c>
      <c r="B627">
        <f>B626+('Rachford-Rice-Solution'!$M$29-'Rachford-Rice-Solution'!$L$29)/999</f>
        <v>0.78954769840386185</v>
      </c>
      <c r="C627" cm="1">
        <f t="array" ref="C627">RR_Eq('Rachford-Rice-Solution'!$B$29,'Rachford-Rice-Solution'!$C$29,'Rachford-Rice-Solution'!$D$29,'Rachford-Rice-Solution'!$E$29,B627)</f>
        <v>-1.9108717165245022</v>
      </c>
    </row>
    <row r="628" spans="1:3" x14ac:dyDescent="0.35">
      <c r="A628">
        <v>626</v>
      </c>
      <c r="B628">
        <f>B627+('Rachford-Rice-Solution'!$M$29-'Rachford-Rice-Solution'!$L$29)/999</f>
        <v>0.79081520355485913</v>
      </c>
      <c r="C628" cm="1">
        <f t="array" ref="C628">RR_Eq('Rachford-Rice-Solution'!$B$29,'Rachford-Rice-Solution'!$C$29,'Rachford-Rice-Solution'!$D$29,'Rachford-Rice-Solution'!$E$29,B628)</f>
        <v>-1.916290622868962</v>
      </c>
    </row>
    <row r="629" spans="1:3" x14ac:dyDescent="0.35">
      <c r="A629">
        <v>627</v>
      </c>
      <c r="B629">
        <f>B628+('Rachford-Rice-Solution'!$M$29-'Rachford-Rice-Solution'!$L$29)/999</f>
        <v>0.7920827087058564</v>
      </c>
      <c r="C629" cm="1">
        <f t="array" ref="C629">RR_Eq('Rachford-Rice-Solution'!$B$29,'Rachford-Rice-Solution'!$C$29,'Rachford-Rice-Solution'!$D$29,'Rachford-Rice-Solution'!$E$29,B629)</f>
        <v>-1.9217375931464347</v>
      </c>
    </row>
    <row r="630" spans="1:3" x14ac:dyDescent="0.35">
      <c r="A630">
        <v>628</v>
      </c>
      <c r="B630">
        <f>B629+('Rachford-Rice-Solution'!$M$29-'Rachford-Rice-Solution'!$L$29)/999</f>
        <v>0.79335021385685367</v>
      </c>
      <c r="C630" cm="1">
        <f t="array" ref="C630">RR_Eq('Rachford-Rice-Solution'!$B$29,'Rachford-Rice-Solution'!$C$29,'Rachford-Rice-Solution'!$D$29,'Rachford-Rice-Solution'!$E$29,B630)</f>
        <v>-1.9272128584374837</v>
      </c>
    </row>
    <row r="631" spans="1:3" x14ac:dyDescent="0.35">
      <c r="A631">
        <v>629</v>
      </c>
      <c r="B631">
        <f>B630+('Rachford-Rice-Solution'!$M$29-'Rachford-Rice-Solution'!$L$29)/999</f>
        <v>0.79461771900785094</v>
      </c>
      <c r="C631" cm="1">
        <f t="array" ref="C631">RR_Eq('Rachford-Rice-Solution'!$B$29,'Rachford-Rice-Solution'!$C$29,'Rachford-Rice-Solution'!$D$29,'Rachford-Rice-Solution'!$E$29,B631)</f>
        <v>-1.9327166522837171</v>
      </c>
    </row>
    <row r="632" spans="1:3" x14ac:dyDescent="0.35">
      <c r="A632">
        <v>630</v>
      </c>
      <c r="B632">
        <f>B631+('Rachford-Rice-Solution'!$M$29-'Rachford-Rice-Solution'!$L$29)/999</f>
        <v>0.79588522415884821</v>
      </c>
      <c r="C632" cm="1">
        <f t="array" ref="C632">RR_Eq('Rachford-Rice-Solution'!$B$29,'Rachford-Rice-Solution'!$C$29,'Rachford-Rice-Solution'!$D$29,'Rachford-Rice-Solution'!$E$29,B632)</f>
        <v>-1.938249210721287</v>
      </c>
    </row>
    <row r="633" spans="1:3" x14ac:dyDescent="0.35">
      <c r="A633">
        <v>631</v>
      </c>
      <c r="B633">
        <f>B632+('Rachford-Rice-Solution'!$M$29-'Rachford-Rice-Solution'!$L$29)/999</f>
        <v>0.79715272930984549</v>
      </c>
      <c r="C633" cm="1">
        <f t="array" ref="C633">RR_Eq('Rachford-Rice-Solution'!$B$29,'Rachford-Rice-Solution'!$C$29,'Rachford-Rice-Solution'!$D$29,'Rachford-Rice-Solution'!$E$29,B633)</f>
        <v>-1.9438107723149287</v>
      </c>
    </row>
    <row r="634" spans="1:3" x14ac:dyDescent="0.35">
      <c r="A634">
        <v>632</v>
      </c>
      <c r="B634">
        <f>B633+('Rachford-Rice-Solution'!$M$29-'Rachford-Rice-Solution'!$L$29)/999</f>
        <v>0.79842023446084276</v>
      </c>
      <c r="C634" cm="1">
        <f t="array" ref="C634">RR_Eq('Rachford-Rice-Solution'!$B$29,'Rachford-Rice-Solution'!$C$29,'Rachford-Rice-Solution'!$D$29,'Rachford-Rice-Solution'!$E$29,B634)</f>
        <v>-1.9494015781925593</v>
      </c>
    </row>
    <row r="635" spans="1:3" x14ac:dyDescent="0.35">
      <c r="A635">
        <v>633</v>
      </c>
      <c r="B635">
        <f>B634+('Rachford-Rice-Solution'!$M$29-'Rachford-Rice-Solution'!$L$29)/999</f>
        <v>0.79968773961184003</v>
      </c>
      <c r="C635" cm="1">
        <f t="array" ref="C635">RR_Eq('Rachford-Rice-Solution'!$B$29,'Rachford-Rice-Solution'!$C$29,'Rachford-Rice-Solution'!$D$29,'Rachford-Rice-Solution'!$E$29,B635)</f>
        <v>-1.955021872080434</v>
      </c>
    </row>
    <row r="636" spans="1:3" x14ac:dyDescent="0.35">
      <c r="A636">
        <v>634</v>
      </c>
      <c r="B636">
        <f>B635+('Rachford-Rice-Solution'!$M$29-'Rachford-Rice-Solution'!$L$29)/999</f>
        <v>0.8009552447628373</v>
      </c>
      <c r="C636" cm="1">
        <f t="array" ref="C636">RR_Eq('Rachford-Rice-Solution'!$B$29,'Rachford-Rice-Solution'!$C$29,'Rachford-Rice-Solution'!$D$29,'Rachford-Rice-Solution'!$E$29,B636)</f>
        <v>-1.9606719003388768</v>
      </c>
    </row>
    <row r="637" spans="1:3" x14ac:dyDescent="0.35">
      <c r="A637">
        <v>635</v>
      </c>
      <c r="B637">
        <f>B636+('Rachford-Rice-Solution'!$M$29-'Rachford-Rice-Solution'!$L$29)/999</f>
        <v>0.80222274991383458</v>
      </c>
      <c r="C637" cm="1">
        <f t="array" ref="C637">RR_Eq('Rachford-Rice-Solution'!$B$29,'Rachford-Rice-Solution'!$C$29,'Rachford-Rice-Solution'!$D$29,'Rachford-Rice-Solution'!$E$29,B637)</f>
        <v>-1.9663519119986026</v>
      </c>
    </row>
    <row r="638" spans="1:3" x14ac:dyDescent="0.35">
      <c r="A638">
        <v>636</v>
      </c>
      <c r="B638">
        <f>B637+('Rachford-Rice-Solution'!$M$29-'Rachford-Rice-Solution'!$L$29)/999</f>
        <v>0.80349025506483185</v>
      </c>
      <c r="C638" cm="1">
        <f t="array" ref="C638">RR_Eq('Rachford-Rice-Solution'!$B$29,'Rachford-Rice-Solution'!$C$29,'Rachford-Rice-Solution'!$D$29,'Rachford-Rice-Solution'!$E$29,B638)</f>
        <v>-1.972062158797625</v>
      </c>
    </row>
    <row r="639" spans="1:3" x14ac:dyDescent="0.35">
      <c r="A639">
        <v>637</v>
      </c>
      <c r="B639">
        <f>B638+('Rachford-Rice-Solution'!$M$29-'Rachford-Rice-Solution'!$L$29)/999</f>
        <v>0.80475776021582912</v>
      </c>
      <c r="C639" cm="1">
        <f t="array" ref="C639">RR_Eq('Rachford-Rice-Solution'!$B$29,'Rachford-Rice-Solution'!$C$29,'Rachford-Rice-Solution'!$D$29,'Rachford-Rice-Solution'!$E$29,B639)</f>
        <v>-1.9778028952187801</v>
      </c>
    </row>
    <row r="640" spans="1:3" x14ac:dyDescent="0.35">
      <c r="A640">
        <v>638</v>
      </c>
      <c r="B640">
        <f>B639+('Rachford-Rice-Solution'!$M$29-'Rachford-Rice-Solution'!$L$29)/999</f>
        <v>0.80602526536682639</v>
      </c>
      <c r="C640" cm="1">
        <f t="array" ref="C640">RR_Eq('Rachford-Rice-Solution'!$B$29,'Rachford-Rice-Solution'!$C$29,'Rachford-Rice-Solution'!$D$29,'Rachford-Rice-Solution'!$E$29,B640)</f>
        <v>-1.9835743785278703</v>
      </c>
    </row>
    <row r="641" spans="1:3" x14ac:dyDescent="0.35">
      <c r="A641">
        <v>639</v>
      </c>
      <c r="B641">
        <f>B640+('Rachford-Rice-Solution'!$M$29-'Rachford-Rice-Solution'!$L$29)/999</f>
        <v>0.80729277051782367</v>
      </c>
      <c r="C641" cm="1">
        <f t="array" ref="C641">RR_Eq('Rachford-Rice-Solution'!$B$29,'Rachford-Rice-Solution'!$C$29,'Rachford-Rice-Solution'!$D$29,'Rachford-Rice-Solution'!$E$29,B641)</f>
        <v>-1.9893768688124331</v>
      </c>
    </row>
    <row r="642" spans="1:3" x14ac:dyDescent="0.35">
      <c r="A642">
        <v>640</v>
      </c>
      <c r="B642">
        <f>B641+('Rachford-Rice-Solution'!$M$29-'Rachford-Rice-Solution'!$L$29)/999</f>
        <v>0.80856027566882094</v>
      </c>
      <c r="C642" cm="1">
        <f t="array" ref="C642">RR_Eq('Rachford-Rice-Solution'!$B$29,'Rachford-Rice-Solution'!$C$29,'Rachford-Rice-Solution'!$D$29,'Rachford-Rice-Solution'!$E$29,B642)</f>
        <v>-1.9952106290211624</v>
      </c>
    </row>
    <row r="643" spans="1:3" x14ac:dyDescent="0.35">
      <c r="A643">
        <v>641</v>
      </c>
      <c r="B643">
        <f>B642+('Rachford-Rice-Solution'!$M$29-'Rachford-Rice-Solution'!$L$29)/999</f>
        <v>0.80982778081981821</v>
      </c>
      <c r="C643" cm="1">
        <f t="array" ref="C643">RR_Eq('Rachford-Rice-Solution'!$B$29,'Rachford-Rice-Solution'!$C$29,'Rachford-Rice-Solution'!$D$29,'Rachford-Rice-Solution'!$E$29,B643)</f>
        <v>-2.0010759250039802</v>
      </c>
    </row>
    <row r="644" spans="1:3" x14ac:dyDescent="0.35">
      <c r="A644">
        <v>642</v>
      </c>
      <c r="B644">
        <f>B643+('Rachford-Rice-Solution'!$M$29-'Rachford-Rice-Solution'!$L$29)/999</f>
        <v>0.81109528597081548</v>
      </c>
      <c r="C644" cm="1">
        <f t="array" ref="C644">RR_Eq('Rachford-Rice-Solution'!$B$29,'Rachford-Rice-Solution'!$C$29,'Rachford-Rice-Solution'!$D$29,'Rachford-Rice-Solution'!$E$29,B644)</f>
        <v>-2.0069730255527807</v>
      </c>
    </row>
    <row r="645" spans="1:3" x14ac:dyDescent="0.35">
      <c r="A645">
        <v>643</v>
      </c>
      <c r="B645">
        <f>B644+('Rachford-Rice-Solution'!$M$29-'Rachford-Rice-Solution'!$L$29)/999</f>
        <v>0.81236279112181276</v>
      </c>
      <c r="C645" cm="1">
        <f t="array" ref="C645">RR_Eq('Rachford-Rice-Solution'!$B$29,'Rachford-Rice-Solution'!$C$29,'Rachford-Rice-Solution'!$D$29,'Rachford-Rice-Solution'!$E$29,B645)</f>
        <v>-2.0129022024428531</v>
      </c>
    </row>
    <row r="646" spans="1:3" x14ac:dyDescent="0.35">
      <c r="A646">
        <v>644</v>
      </c>
      <c r="B646">
        <f>B645+('Rachford-Rice-Solution'!$M$29-'Rachford-Rice-Solution'!$L$29)/999</f>
        <v>0.81363029627281003</v>
      </c>
      <c r="C646" cm="1">
        <f t="array" ref="C646">RR_Eq('Rachford-Rice-Solution'!$B$29,'Rachford-Rice-Solution'!$C$29,'Rachford-Rice-Solution'!$D$29,'Rachford-Rice-Solution'!$E$29,B646)</f>
        <v>-2.0188637304750099</v>
      </c>
    </row>
    <row r="647" spans="1:3" x14ac:dyDescent="0.35">
      <c r="A647">
        <v>645</v>
      </c>
      <c r="B647">
        <f>B646+('Rachford-Rice-Solution'!$M$29-'Rachford-Rice-Solution'!$L$29)/999</f>
        <v>0.8148978014238073</v>
      </c>
      <c r="C647" cm="1">
        <f t="array" ref="C647">RR_Eq('Rachford-Rice-Solution'!$B$29,'Rachford-Rice-Solution'!$C$29,'Rachford-Rice-Solution'!$D$29,'Rachford-Rice-Solution'!$E$29,B647)</f>
        <v>-2.0248578875184147</v>
      </c>
    </row>
    <row r="648" spans="1:3" x14ac:dyDescent="0.35">
      <c r="A648">
        <v>646</v>
      </c>
      <c r="B648">
        <f>B647+('Rachford-Rice-Solution'!$M$29-'Rachford-Rice-Solution'!$L$29)/999</f>
        <v>0.81616530657480457</v>
      </c>
      <c r="C648" cm="1">
        <f t="array" ref="C648">RR_Eq('Rachford-Rice-Solution'!$B$29,'Rachford-Rice-Solution'!$C$29,'Rachford-Rice-Solution'!$D$29,'Rachford-Rice-Solution'!$E$29,B648)</f>
        <v>-2.030884954554137</v>
      </c>
    </row>
    <row r="649" spans="1:3" x14ac:dyDescent="0.35">
      <c r="A649">
        <v>647</v>
      </c>
      <c r="B649">
        <f>B648+('Rachford-Rice-Solution'!$M$29-'Rachford-Rice-Solution'!$L$29)/999</f>
        <v>0.81743281172580184</v>
      </c>
      <c r="C649" cm="1">
        <f t="array" ref="C649">RR_Eq('Rachford-Rice-Solution'!$B$29,'Rachford-Rice-Solution'!$C$29,'Rachford-Rice-Solution'!$D$29,'Rachford-Rice-Solution'!$E$29,B649)</f>
        <v>-2.0369452157194523</v>
      </c>
    </row>
    <row r="650" spans="1:3" x14ac:dyDescent="0.35">
      <c r="A650">
        <v>648</v>
      </c>
      <c r="B650">
        <f>B649+('Rachford-Rice-Solution'!$M$29-'Rachford-Rice-Solution'!$L$29)/999</f>
        <v>0.81870031687679912</v>
      </c>
      <c r="C650" cm="1">
        <f t="array" ref="C650">RR_Eq('Rachford-Rice-Solution'!$B$29,'Rachford-Rice-Solution'!$C$29,'Rachford-Rice-Solution'!$D$29,'Rachford-Rice-Solution'!$E$29,B650)</f>
        <v>-2.0430389583528825</v>
      </c>
    </row>
    <row r="651" spans="1:3" x14ac:dyDescent="0.35">
      <c r="A651">
        <v>649</v>
      </c>
      <c r="B651">
        <f>B650+('Rachford-Rice-Solution'!$M$29-'Rachford-Rice-Solution'!$L$29)/999</f>
        <v>0.81996782202779639</v>
      </c>
      <c r="C651" cm="1">
        <f t="array" ref="C651">RR_Eq('Rachford-Rice-Solution'!$B$29,'Rachford-Rice-Solution'!$C$29,'Rachford-Rice-Solution'!$D$29,'Rachford-Rice-Solution'!$E$29,B651)</f>
        <v>-2.0491664730400143</v>
      </c>
    </row>
    <row r="652" spans="1:3" x14ac:dyDescent="0.35">
      <c r="A652">
        <v>650</v>
      </c>
      <c r="B652">
        <f>B651+('Rachford-Rice-Solution'!$M$29-'Rachford-Rice-Solution'!$L$29)/999</f>
        <v>0.82123532717879366</v>
      </c>
      <c r="C652" cm="1">
        <f t="array" ref="C652">RR_Eq('Rachford-Rice-Solution'!$B$29,'Rachford-Rice-Solution'!$C$29,'Rachford-Rice-Solution'!$D$29,'Rachford-Rice-Solution'!$E$29,B652)</f>
        <v>-2.0553280536600993</v>
      </c>
    </row>
    <row r="653" spans="1:3" x14ac:dyDescent="0.35">
      <c r="A653">
        <v>651</v>
      </c>
      <c r="B653">
        <f>B652+('Rachford-Rice-Solution'!$M$29-'Rachford-Rice-Solution'!$L$29)/999</f>
        <v>0.82250283232979093</v>
      </c>
      <c r="C653" cm="1">
        <f t="array" ref="C653">RR_Eq('Rachford-Rice-Solution'!$B$29,'Rachford-Rice-Solution'!$C$29,'Rachford-Rice-Solution'!$D$29,'Rachford-Rice-Solution'!$E$29,B653)</f>
        <v>-2.0615239974334489</v>
      </c>
    </row>
    <row r="654" spans="1:3" x14ac:dyDescent="0.35">
      <c r="A654">
        <v>652</v>
      </c>
      <c r="B654">
        <f>B653+('Rachford-Rice-Solution'!$M$29-'Rachford-Rice-Solution'!$L$29)/999</f>
        <v>0.82377033748078821</v>
      </c>
      <c r="C654" cm="1">
        <f t="array" ref="C654">RR_Eq('Rachford-Rice-Solution'!$B$29,'Rachford-Rice-Solution'!$C$29,'Rachford-Rice-Solution'!$D$29,'Rachford-Rice-Solution'!$E$29,B654)</f>
        <v>-2.0677546049696494</v>
      </c>
    </row>
    <row r="655" spans="1:3" x14ac:dyDescent="0.35">
      <c r="A655">
        <v>653</v>
      </c>
      <c r="B655">
        <f>B654+('Rachford-Rice-Solution'!$M$29-'Rachford-Rice-Solution'!$L$29)/999</f>
        <v>0.82503784263178548</v>
      </c>
      <c r="C655" cm="1">
        <f t="array" ref="C655">RR_Eq('Rachford-Rice-Solution'!$B$29,'Rachford-Rice-Solution'!$C$29,'Rachford-Rice-Solution'!$D$29,'Rachford-Rice-Solution'!$E$29,B655)</f>
        <v>-2.074020180316607</v>
      </c>
    </row>
    <row r="656" spans="1:3" x14ac:dyDescent="0.35">
      <c r="A656">
        <v>654</v>
      </c>
      <c r="B656">
        <f>B655+('Rachford-Rice-Solution'!$M$29-'Rachford-Rice-Solution'!$L$29)/999</f>
        <v>0.82630534778278275</v>
      </c>
      <c r="C656" cm="1">
        <f t="array" ref="C656">RR_Eq('Rachford-Rice-Solution'!$B$29,'Rachford-Rice-Solution'!$C$29,'Rachford-Rice-Solution'!$D$29,'Rachford-Rice-Solution'!$E$29,B656)</f>
        <v>-2.0803210310104396</v>
      </c>
    </row>
    <row r="657" spans="1:3" x14ac:dyDescent="0.35">
      <c r="A657">
        <v>655</v>
      </c>
      <c r="B657">
        <f>B656+('Rachford-Rice-Solution'!$M$29-'Rachford-Rice-Solution'!$L$29)/999</f>
        <v>0.82757285293378002</v>
      </c>
      <c r="C657" cm="1">
        <f t="array" ref="C657">RR_Eq('Rachford-Rice-Solution'!$B$29,'Rachford-Rice-Solution'!$C$29,'Rachford-Rice-Solution'!$D$29,'Rachford-Rice-Solution'!$E$29,B657)</f>
        <v>-2.086657468126238</v>
      </c>
    </row>
    <row r="658" spans="1:3" x14ac:dyDescent="0.35">
      <c r="A658">
        <v>656</v>
      </c>
      <c r="B658">
        <f>B657+('Rachford-Rice-Solution'!$M$29-'Rachford-Rice-Solution'!$L$29)/999</f>
        <v>0.8288403580847773</v>
      </c>
      <c r="C658" cm="1">
        <f t="array" ref="C658">RR_Eq('Rachford-Rice-Solution'!$B$29,'Rachford-Rice-Solution'!$C$29,'Rachford-Rice-Solution'!$D$29,'Rachford-Rice-Solution'!$E$29,B658)</f>
        <v>-2.0930298063297066</v>
      </c>
    </row>
    <row r="659" spans="1:3" x14ac:dyDescent="0.35">
      <c r="A659">
        <v>657</v>
      </c>
      <c r="B659">
        <f>B658+('Rachford-Rice-Solution'!$M$29-'Rachford-Rice-Solution'!$L$29)/999</f>
        <v>0.83010786323577457</v>
      </c>
      <c r="C659" cm="1">
        <f t="array" ref="C659">RR_Eq('Rachford-Rice-Solution'!$B$29,'Rachford-Rice-Solution'!$C$29,'Rachford-Rice-Solution'!$D$29,'Rachford-Rice-Solution'!$E$29,B659)</f>
        <v>-2.0994383639297087</v>
      </c>
    </row>
    <row r="660" spans="1:3" x14ac:dyDescent="0.35">
      <c r="A660">
        <v>658</v>
      </c>
      <c r="B660">
        <f>B659+('Rachford-Rice-Solution'!$M$29-'Rachford-Rice-Solution'!$L$29)/999</f>
        <v>0.83137536838677184</v>
      </c>
      <c r="C660" cm="1">
        <f t="array" ref="C660">RR_Eq('Rachford-Rice-Solution'!$B$29,'Rachford-Rice-Solution'!$C$29,'Rachford-Rice-Solution'!$D$29,'Rachford-Rice-Solution'!$E$29,B660)</f>
        <v>-2.1058834629317293</v>
      </c>
    </row>
    <row r="661" spans="1:3" x14ac:dyDescent="0.35">
      <c r="A661">
        <v>659</v>
      </c>
      <c r="B661">
        <f>B660+('Rachford-Rice-Solution'!$M$29-'Rachford-Rice-Solution'!$L$29)/999</f>
        <v>0.83264287353776911</v>
      </c>
      <c r="C661" cm="1">
        <f t="array" ref="C661">RR_Eq('Rachford-Rice-Solution'!$B$29,'Rachford-Rice-Solution'!$C$29,'Rachford-Rice-Solution'!$D$29,'Rachford-Rice-Solution'!$E$29,B661)</f>
        <v>-2.1123654290922835</v>
      </c>
    </row>
    <row r="662" spans="1:3" x14ac:dyDescent="0.35">
      <c r="A662">
        <v>660</v>
      </c>
      <c r="B662">
        <f>B661+('Rachford-Rice-Solution'!$M$29-'Rachford-Rice-Solution'!$L$29)/999</f>
        <v>0.83391037868876638</v>
      </c>
      <c r="C662" cm="1">
        <f t="array" ref="C662">RR_Eq('Rachford-Rice-Solution'!$B$29,'Rachford-Rice-Solution'!$C$29,'Rachford-Rice-Solution'!$D$29,'Rachford-Rice-Solution'!$E$29,B662)</f>
        <v>-2.1188845919742691</v>
      </c>
    </row>
    <row r="663" spans="1:3" x14ac:dyDescent="0.35">
      <c r="A663">
        <v>661</v>
      </c>
      <c r="B663">
        <f>B662+('Rachford-Rice-Solution'!$M$29-'Rachford-Rice-Solution'!$L$29)/999</f>
        <v>0.83517788383976366</v>
      </c>
      <c r="C663" cm="1">
        <f t="array" ref="C663">RR_Eq('Rachford-Rice-Solution'!$B$29,'Rachford-Rice-Solution'!$C$29,'Rachford-Rice-Solution'!$D$29,'Rachford-Rice-Solution'!$E$29,B663)</f>
        <v>-2.1254412850033124</v>
      </c>
    </row>
    <row r="664" spans="1:3" x14ac:dyDescent="0.35">
      <c r="A664">
        <v>662</v>
      </c>
      <c r="B664">
        <f>B663+('Rachford-Rice-Solution'!$M$29-'Rachford-Rice-Solution'!$L$29)/999</f>
        <v>0.83644538899076093</v>
      </c>
      <c r="C664" cm="1">
        <f t="array" ref="C664">RR_Eq('Rachford-Rice-Solution'!$B$29,'Rachford-Rice-Solution'!$C$29,'Rachford-Rice-Solution'!$D$29,'Rachford-Rice-Solution'!$E$29,B664)</f>
        <v>-2.1320358455251029</v>
      </c>
    </row>
    <row r="665" spans="1:3" x14ac:dyDescent="0.35">
      <c r="A665">
        <v>663</v>
      </c>
      <c r="B665">
        <f>B664+('Rachford-Rice-Solution'!$M$29-'Rachford-Rice-Solution'!$L$29)/999</f>
        <v>0.8377128941417582</v>
      </c>
      <c r="C665" cm="1">
        <f t="array" ref="C665">RR_Eq('Rachford-Rice-Solution'!$B$29,'Rachford-Rice-Solution'!$C$29,'Rachford-Rice-Solution'!$D$29,'Rachford-Rice-Solution'!$E$29,B665)</f>
        <v>-2.1386686148637515</v>
      </c>
    </row>
    <row r="666" spans="1:3" x14ac:dyDescent="0.35">
      <c r="A666">
        <v>664</v>
      </c>
      <c r="B666">
        <f>B665+('Rachford-Rice-Solution'!$M$29-'Rachford-Rice-Solution'!$L$29)/999</f>
        <v>0.83898039929275547</v>
      </c>
      <c r="C666" cm="1">
        <f t="array" ref="C666">RR_Eq('Rachford-Rice-Solution'!$B$29,'Rachford-Rice-Solution'!$C$29,'Rachford-Rice-Solution'!$D$29,'Rachford-Rice-Solution'!$E$29,B666)</f>
        <v>-2.1453399383811864</v>
      </c>
    </row>
    <row r="667" spans="1:3" x14ac:dyDescent="0.35">
      <c r="A667">
        <v>665</v>
      </c>
      <c r="B667">
        <f>B666+('Rachford-Rice-Solution'!$M$29-'Rachford-Rice-Solution'!$L$29)/999</f>
        <v>0.84024790444375275</v>
      </c>
      <c r="C667" cm="1">
        <f t="array" ref="C667">RR_Eq('Rachford-Rice-Solution'!$B$29,'Rachford-Rice-Solution'!$C$29,'Rachford-Rice-Solution'!$D$29,'Rachford-Rice-Solution'!$E$29,B667)</f>
        <v>-2.1520501655376116</v>
      </c>
    </row>
    <row r="668" spans="1:3" x14ac:dyDescent="0.35">
      <c r="A668">
        <v>666</v>
      </c>
      <c r="B668">
        <f>B667+('Rachford-Rice-Solution'!$M$29-'Rachford-Rice-Solution'!$L$29)/999</f>
        <v>0.84151540959475002</v>
      </c>
      <c r="C668" cm="1">
        <f t="array" ref="C668">RR_Eq('Rachford-Rice-Solution'!$B$29,'Rachford-Rice-Solution'!$C$29,'Rachford-Rice-Solution'!$D$29,'Rachford-Rice-Solution'!$E$29,B668)</f>
        <v>-2.1587996499530533</v>
      </c>
    </row>
    <row r="669" spans="1:3" x14ac:dyDescent="0.35">
      <c r="A669">
        <v>667</v>
      </c>
      <c r="B669">
        <f>B668+('Rachford-Rice-Solution'!$M$29-'Rachford-Rice-Solution'!$L$29)/999</f>
        <v>0.84278291474574729</v>
      </c>
      <c r="C669" cm="1">
        <f t="array" ref="C669">RR_Eq('Rachford-Rice-Solution'!$B$29,'Rachford-Rice-Solution'!$C$29,'Rachford-Rice-Solution'!$D$29,'Rachford-Rice-Solution'!$E$29,B669)</f>
        <v>-2.1655887494700066</v>
      </c>
    </row>
    <row r="670" spans="1:3" x14ac:dyDescent="0.35">
      <c r="A670">
        <v>668</v>
      </c>
      <c r="B670">
        <f>B669+('Rachford-Rice-Solution'!$M$29-'Rachford-Rice-Solution'!$L$29)/999</f>
        <v>0.84405041989674456</v>
      </c>
      <c r="C670" cm="1">
        <f t="array" ref="C670">RR_Eq('Rachford-Rice-Solution'!$B$29,'Rachford-Rice-Solution'!$C$29,'Rachford-Rice-Solution'!$D$29,'Rachford-Rice-Solution'!$E$29,B670)</f>
        <v>-2.1724178262172171</v>
      </c>
    </row>
    <row r="671" spans="1:3" x14ac:dyDescent="0.35">
      <c r="A671">
        <v>669</v>
      </c>
      <c r="B671">
        <f>B670+('Rachford-Rice-Solution'!$M$29-'Rachford-Rice-Solution'!$L$29)/999</f>
        <v>0.84531792504774184</v>
      </c>
      <c r="C671" cm="1">
        <f t="array" ref="C671">RR_Eq('Rachford-Rice-Solution'!$B$29,'Rachford-Rice-Solution'!$C$29,'Rachford-Rice-Solution'!$D$29,'Rachford-Rice-Solution'!$E$29,B671)</f>
        <v>-2.1792872466746194</v>
      </c>
    </row>
    <row r="672" spans="1:3" x14ac:dyDescent="0.35">
      <c r="A672">
        <v>670</v>
      </c>
      <c r="B672">
        <f>B671+('Rachford-Rice-Solution'!$M$29-'Rachford-Rice-Solution'!$L$29)/999</f>
        <v>0.84658543019873911</v>
      </c>
      <c r="C672" cm="1">
        <f t="array" ref="C672">RR_Eq('Rachford-Rice-Solution'!$B$29,'Rachford-Rice-Solution'!$C$29,'Rachford-Rice-Solution'!$D$29,'Rachford-Rice-Solution'!$E$29,B672)</f>
        <v>-2.1861973817394484</v>
      </c>
    </row>
    <row r="673" spans="1:3" x14ac:dyDescent="0.35">
      <c r="A673">
        <v>671</v>
      </c>
      <c r="B673">
        <f>B672+('Rachford-Rice-Solution'!$M$29-'Rachford-Rice-Solution'!$L$29)/999</f>
        <v>0.84785293534973638</v>
      </c>
      <c r="C673" cm="1">
        <f t="array" ref="C673">RR_Eq('Rachford-Rice-Solution'!$B$29,'Rachford-Rice-Solution'!$C$29,'Rachford-Rice-Solution'!$D$29,'Rachford-Rice-Solution'!$E$29,B673)</f>
        <v>-2.1931486067935597</v>
      </c>
    </row>
    <row r="674" spans="1:3" x14ac:dyDescent="0.35">
      <c r="A674">
        <v>672</v>
      </c>
      <c r="B674">
        <f>B673+('Rachford-Rice-Solution'!$M$29-'Rachford-Rice-Solution'!$L$29)/999</f>
        <v>0.84912044050073365</v>
      </c>
      <c r="C674" cm="1">
        <f t="array" ref="C674">RR_Eq('Rachford-Rice-Solution'!$B$29,'Rachford-Rice-Solution'!$C$29,'Rachford-Rice-Solution'!$D$29,'Rachford-Rice-Solution'!$E$29,B674)</f>
        <v>-2.2001413017719758</v>
      </c>
    </row>
    <row r="675" spans="1:3" x14ac:dyDescent="0.35">
      <c r="A675">
        <v>673</v>
      </c>
      <c r="B675">
        <f>B674+('Rachford-Rice-Solution'!$M$29-'Rachford-Rice-Solution'!$L$29)/999</f>
        <v>0.85038794565173093</v>
      </c>
      <c r="C675" cm="1">
        <f t="array" ref="C675">RR_Eq('Rachford-Rice-Solution'!$B$29,'Rachford-Rice-Solution'!$C$29,'Rachford-Rice-Solution'!$D$29,'Rachford-Rice-Solution'!$E$29,B675)</f>
        <v>-2.2071758512326936</v>
      </c>
    </row>
    <row r="676" spans="1:3" x14ac:dyDescent="0.35">
      <c r="A676">
        <v>674</v>
      </c>
      <c r="B676">
        <f>B675+('Rachford-Rice-Solution'!$M$29-'Rachford-Rice-Solution'!$L$29)/999</f>
        <v>0.8516554508027282</v>
      </c>
      <c r="C676" cm="1">
        <f t="array" ref="C676">RR_Eq('Rachford-Rice-Solution'!$B$29,'Rachford-Rice-Solution'!$C$29,'Rachford-Rice-Solution'!$D$29,'Rachford-Rice-Solution'!$E$29,B676)</f>
        <v>-2.2142526444277677</v>
      </c>
    </row>
    <row r="677" spans="1:3" x14ac:dyDescent="0.35">
      <c r="A677">
        <v>675</v>
      </c>
      <c r="B677">
        <f>B676+('Rachford-Rice-Solution'!$M$29-'Rachford-Rice-Solution'!$L$29)/999</f>
        <v>0.85292295595372547</v>
      </c>
      <c r="C677" cm="1">
        <f t="array" ref="C677">RR_Eq('Rachford-Rice-Solution'!$B$29,'Rachford-Rice-Solution'!$C$29,'Rachford-Rice-Solution'!$D$29,'Rachford-Rice-Solution'!$E$29,B677)</f>
        <v>-2.221372075375712</v>
      </c>
    </row>
    <row r="678" spans="1:3" x14ac:dyDescent="0.35">
      <c r="A678">
        <v>676</v>
      </c>
      <c r="B678">
        <f>B677+('Rachford-Rice-Solution'!$M$29-'Rachford-Rice-Solution'!$L$29)/999</f>
        <v>0.85419046110472274</v>
      </c>
      <c r="C678" cm="1">
        <f t="array" ref="C678">RR_Eq('Rachford-Rice-Solution'!$B$29,'Rachford-Rice-Solution'!$C$29,'Rachford-Rice-Solution'!$D$29,'Rachford-Rice-Solution'!$E$29,B678)</f>
        <v>-2.2285345429352361</v>
      </c>
    </row>
    <row r="679" spans="1:3" x14ac:dyDescent="0.35">
      <c r="A679">
        <v>677</v>
      </c>
      <c r="B679">
        <f>B678+('Rachford-Rice-Solution'!$M$29-'Rachford-Rice-Solution'!$L$29)/999</f>
        <v>0.85545796625572001</v>
      </c>
      <c r="C679" cm="1">
        <f t="array" ref="C679">RR_Eq('Rachford-Rice-Solution'!$B$29,'Rachford-Rice-Solution'!$C$29,'Rachford-Rice-Solution'!$D$29,'Rachford-Rice-Solution'!$E$29,B679)</f>
        <v>-2.2357404508803485</v>
      </c>
    </row>
    <row r="680" spans="1:3" x14ac:dyDescent="0.35">
      <c r="A680">
        <v>678</v>
      </c>
      <c r="B680">
        <f>B679+('Rachford-Rice-Solution'!$M$29-'Rachford-Rice-Solution'!$L$29)/999</f>
        <v>0.85672547140671729</v>
      </c>
      <c r="C680" cm="1">
        <f t="array" ref="C680">RR_Eq('Rachford-Rice-Solution'!$B$29,'Rachford-Rice-Solution'!$C$29,'Rachford-Rice-Solution'!$D$29,'Rachford-Rice-Solution'!$E$29,B680)</f>
        <v>-2.2429902079768649</v>
      </c>
    </row>
    <row r="681" spans="1:3" x14ac:dyDescent="0.35">
      <c r="A681">
        <v>679</v>
      </c>
      <c r="B681">
        <f>B680+('Rachford-Rice-Solution'!$M$29-'Rachford-Rice-Solution'!$L$29)/999</f>
        <v>0.85799297655771456</v>
      </c>
      <c r="C681" cm="1">
        <f t="array" ref="C681">RR_Eq('Rachford-Rice-Solution'!$B$29,'Rachford-Rice-Solution'!$C$29,'Rachford-Rice-Solution'!$D$29,'Rachford-Rice-Solution'!$E$29,B681)</f>
        <v>-2.2502842280603343</v>
      </c>
    </row>
    <row r="682" spans="1:3" x14ac:dyDescent="0.35">
      <c r="A682">
        <v>680</v>
      </c>
      <c r="B682">
        <f>B681+('Rachford-Rice-Solution'!$M$29-'Rachford-Rice-Solution'!$L$29)/999</f>
        <v>0.85926048170871183</v>
      </c>
      <c r="C682" cm="1">
        <f t="array" ref="C682">RR_Eq('Rachford-Rice-Solution'!$B$29,'Rachford-Rice-Solution'!$C$29,'Rachford-Rice-Solution'!$D$29,'Rachford-Rice-Solution'!$E$29,B682)</f>
        <v>-2.2576229301154336</v>
      </c>
    </row>
    <row r="683" spans="1:3" x14ac:dyDescent="0.35">
      <c r="A683">
        <v>681</v>
      </c>
      <c r="B683">
        <f>B682+('Rachford-Rice-Solution'!$M$29-'Rachford-Rice-Solution'!$L$29)/999</f>
        <v>0.8605279868597091</v>
      </c>
      <c r="C683" cm="1">
        <f t="array" ref="C683">RR_Eq('Rachford-Rice-Solution'!$B$29,'Rachford-Rice-Solution'!$C$29,'Rachford-Rice-Solution'!$D$29,'Rachford-Rice-Solution'!$E$29,B683)</f>
        <v>-2.2650067383568491</v>
      </c>
    </row>
    <row r="684" spans="1:3" x14ac:dyDescent="0.35">
      <c r="A684">
        <v>682</v>
      </c>
      <c r="B684">
        <f>B683+('Rachford-Rice-Solution'!$M$29-'Rachford-Rice-Solution'!$L$29)/999</f>
        <v>0.86179549201070638</v>
      </c>
      <c r="C684" cm="1">
        <f t="array" ref="C684">RR_Eq('Rachford-Rice-Solution'!$B$29,'Rachford-Rice-Solution'!$C$29,'Rachford-Rice-Solution'!$D$29,'Rachford-Rice-Solution'!$E$29,B684)</f>
        <v>-2.2724360823116863</v>
      </c>
    </row>
    <row r="685" spans="1:3" x14ac:dyDescent="0.35">
      <c r="A685">
        <v>683</v>
      </c>
      <c r="B685">
        <f>B684+('Rachford-Rice-Solution'!$M$29-'Rachford-Rice-Solution'!$L$29)/999</f>
        <v>0.86306299716170365</v>
      </c>
      <c r="C685" cm="1">
        <f t="array" ref="C685">RR_Eq('Rachford-Rice-Solution'!$B$29,'Rachford-Rice-Solution'!$C$29,'Rachford-Rice-Solution'!$D$29,'Rachford-Rice-Solution'!$E$29,B685)</f>
        <v>-2.2799113969034308</v>
      </c>
    </row>
    <row r="686" spans="1:3" x14ac:dyDescent="0.35">
      <c r="A686">
        <v>684</v>
      </c>
      <c r="B686">
        <f>B685+('Rachford-Rice-Solution'!$M$29-'Rachford-Rice-Solution'!$L$29)/999</f>
        <v>0.86433050231270092</v>
      </c>
      <c r="C686" cm="1">
        <f t="array" ref="C686">RR_Eq('Rachford-Rice-Solution'!$B$29,'Rachford-Rice-Solution'!$C$29,'Rachford-Rice-Solution'!$D$29,'Rachford-Rice-Solution'!$E$29,B686)</f>
        <v>-2.2874331225375144</v>
      </c>
    </row>
    <row r="687" spans="1:3" x14ac:dyDescent="0.35">
      <c r="A687">
        <v>685</v>
      </c>
      <c r="B687">
        <f>B686+('Rachford-Rice-Solution'!$M$29-'Rachford-Rice-Solution'!$L$29)/999</f>
        <v>0.86559800746369819</v>
      </c>
      <c r="C687" cm="1">
        <f t="array" ref="C687">RR_Eq('Rachford-Rice-Solution'!$B$29,'Rachford-Rice-Solution'!$C$29,'Rachford-Rice-Solution'!$D$29,'Rachford-Rice-Solution'!$E$29,B687)</f>
        <v>-2.2950017051884943</v>
      </c>
    </row>
    <row r="688" spans="1:3" x14ac:dyDescent="0.35">
      <c r="A688">
        <v>686</v>
      </c>
      <c r="B688">
        <f>B687+('Rachford-Rice-Solution'!$M$29-'Rachford-Rice-Solution'!$L$29)/999</f>
        <v>0.86686551261469547</v>
      </c>
      <c r="C688" cm="1">
        <f t="array" ref="C688">RR_Eq('Rachford-Rice-Solution'!$B$29,'Rachford-Rice-Solution'!$C$29,'Rachford-Rice-Solution'!$D$29,'Rachford-Rice-Solution'!$E$29,B688)</f>
        <v>-2.3026175964889091</v>
      </c>
    </row>
    <row r="689" spans="1:3" x14ac:dyDescent="0.35">
      <c r="A689">
        <v>687</v>
      </c>
      <c r="B689">
        <f>B688+('Rachford-Rice-Solution'!$M$29-'Rachford-Rice-Solution'!$L$29)/999</f>
        <v>0.86813301776569274</v>
      </c>
      <c r="C689" cm="1">
        <f t="array" ref="C689">RR_Eq('Rachford-Rice-Solution'!$B$29,'Rachford-Rice-Solution'!$C$29,'Rachford-Rice-Solution'!$D$29,'Rachford-Rice-Solution'!$E$29,B689)</f>
        <v>-2.3102812538198276</v>
      </c>
    </row>
    <row r="690" spans="1:3" x14ac:dyDescent="0.35">
      <c r="A690">
        <v>688</v>
      </c>
      <c r="B690">
        <f>B689+('Rachford-Rice-Solution'!$M$29-'Rachford-Rice-Solution'!$L$29)/999</f>
        <v>0.86940052291669001</v>
      </c>
      <c r="C690" cm="1">
        <f t="array" ref="C690">RR_Eq('Rachford-Rice-Solution'!$B$29,'Rachford-Rice-Solution'!$C$29,'Rachford-Rice-Solution'!$D$29,'Rachford-Rice-Solution'!$E$29,B690)</f>
        <v>-2.3179931404031473</v>
      </c>
    </row>
    <row r="691" spans="1:3" x14ac:dyDescent="0.35">
      <c r="A691">
        <v>689</v>
      </c>
      <c r="B691">
        <f>B690+('Rachford-Rice-Solution'!$M$29-'Rachford-Rice-Solution'!$L$29)/999</f>
        <v>0.87066802806768728</v>
      </c>
      <c r="C691" cm="1">
        <f t="array" ref="C691">RR_Eq('Rachford-Rice-Solution'!$B$29,'Rachford-Rice-Solution'!$C$29,'Rachford-Rice-Solution'!$D$29,'Rachford-Rice-Solution'!$E$29,B691)</f>
        <v>-2.3257537253956588</v>
      </c>
    </row>
    <row r="692" spans="1:3" x14ac:dyDescent="0.35">
      <c r="A692">
        <v>690</v>
      </c>
      <c r="B692">
        <f>B691+('Rachford-Rice-Solution'!$M$29-'Rachford-Rice-Solution'!$L$29)/999</f>
        <v>0.87193553321868456</v>
      </c>
      <c r="C692" cm="1">
        <f t="array" ref="C692">RR_Eq('Rachford-Rice-Solution'!$B$29,'Rachford-Rice-Solution'!$C$29,'Rachford-Rice-Solution'!$D$29,'Rachford-Rice-Solution'!$E$29,B692)</f>
        <v>-2.3335634839849466</v>
      </c>
    </row>
    <row r="693" spans="1:3" x14ac:dyDescent="0.35">
      <c r="A693">
        <v>691</v>
      </c>
      <c r="B693">
        <f>B692+('Rachford-Rice-Solution'!$M$29-'Rachford-Rice-Solution'!$L$29)/999</f>
        <v>0.87320303836968183</v>
      </c>
      <c r="C693" cm="1">
        <f t="array" ref="C693">RR_Eq('Rachford-Rice-Solution'!$B$29,'Rachford-Rice-Solution'!$C$29,'Rachford-Rice-Solution'!$D$29,'Rachford-Rice-Solution'!$E$29,B693)</f>
        <v>-2.3414228974871305</v>
      </c>
    </row>
    <row r="694" spans="1:3" x14ac:dyDescent="0.35">
      <c r="A694">
        <v>692</v>
      </c>
      <c r="B694">
        <f>B693+('Rachford-Rice-Solution'!$M$29-'Rachford-Rice-Solution'!$L$29)/999</f>
        <v>0.8744705435206791</v>
      </c>
      <c r="C694" cm="1">
        <f t="array" ref="C694">RR_Eq('Rachford-Rice-Solution'!$B$29,'Rachford-Rice-Solution'!$C$29,'Rachford-Rice-Solution'!$D$29,'Rachford-Rice-Solution'!$E$29,B694)</f>
        <v>-2.3493324534465265</v>
      </c>
    </row>
    <row r="695" spans="1:3" x14ac:dyDescent="0.35">
      <c r="A695">
        <v>693</v>
      </c>
      <c r="B695">
        <f>B694+('Rachford-Rice-Solution'!$M$29-'Rachford-Rice-Solution'!$L$29)/999</f>
        <v>0.87573804867167637</v>
      </c>
      <c r="C695" cm="1">
        <f t="array" ref="C695">RR_Eq('Rachford-Rice-Solution'!$B$29,'Rachford-Rice-Solution'!$C$29,'Rachford-Rice-Solution'!$D$29,'Rachford-Rice-Solution'!$E$29,B695)</f>
        <v>-2.3572926457372474</v>
      </c>
    </row>
    <row r="696" spans="1:3" x14ac:dyDescent="0.35">
      <c r="A696">
        <v>694</v>
      </c>
      <c r="B696">
        <f>B695+('Rachford-Rice-Solution'!$M$29-'Rachford-Rice-Solution'!$L$29)/999</f>
        <v>0.87700555382267364</v>
      </c>
      <c r="C696" cm="1">
        <f t="array" ref="C696">RR_Eq('Rachford-Rice-Solution'!$B$29,'Rachford-Rice-Solution'!$C$29,'Rachford-Rice-Solution'!$D$29,'Rachford-Rice-Solution'!$E$29,B696)</f>
        <v>-2.3653039746667899</v>
      </c>
    </row>
    <row r="697" spans="1:3" x14ac:dyDescent="0.35">
      <c r="A697">
        <v>695</v>
      </c>
      <c r="B697">
        <f>B696+('Rachford-Rice-Solution'!$M$29-'Rachford-Rice-Solution'!$L$29)/999</f>
        <v>0.87827305897367092</v>
      </c>
      <c r="C697" cm="1">
        <f t="array" ref="C697">RR_Eq('Rachford-Rice-Solution'!$B$29,'Rachford-Rice-Solution'!$C$29,'Rachford-Rice-Solution'!$D$29,'Rachford-Rice-Solution'!$E$29,B697)</f>
        <v>-2.3733669470816667</v>
      </c>
    </row>
    <row r="698" spans="1:3" x14ac:dyDescent="0.35">
      <c r="A698">
        <v>696</v>
      </c>
      <c r="B698">
        <f>B697+('Rachford-Rice-Solution'!$M$29-'Rachford-Rice-Solution'!$L$29)/999</f>
        <v>0.87954056412466819</v>
      </c>
      <c r="C698" cm="1">
        <f t="array" ref="C698">RR_Eq('Rachford-Rice-Solution'!$B$29,'Rachford-Rice-Solution'!$C$29,'Rachford-Rice-Solution'!$D$29,'Rachford-Rice-Solution'!$E$29,B698)</f>
        <v>-2.381482076475117</v>
      </c>
    </row>
    <row r="699" spans="1:3" x14ac:dyDescent="0.35">
      <c r="A699">
        <v>697</v>
      </c>
      <c r="B699">
        <f>B698+('Rachford-Rice-Solution'!$M$29-'Rachford-Rice-Solution'!$L$29)/999</f>
        <v>0.88080806927566546</v>
      </c>
      <c r="C699" cm="1">
        <f t="array" ref="C699">RR_Eq('Rachford-Rice-Solution'!$B$29,'Rachford-Rice-Solution'!$C$29,'Rachford-Rice-Solution'!$D$29,'Rachford-Rice-Solution'!$E$29,B699)</f>
        <v>-2.3896498830969475</v>
      </c>
    </row>
    <row r="700" spans="1:3" x14ac:dyDescent="0.35">
      <c r="A700">
        <v>698</v>
      </c>
      <c r="B700">
        <f>B699+('Rachford-Rice-Solution'!$M$29-'Rachford-Rice-Solution'!$L$29)/999</f>
        <v>0.88207557442666273</v>
      </c>
      <c r="C700" cm="1">
        <f t="array" ref="C700">RR_Eq('Rachford-Rice-Solution'!$B$29,'Rachford-Rice-Solution'!$C$29,'Rachford-Rice-Solution'!$D$29,'Rachford-Rice-Solution'!$E$29,B700)</f>
        <v>-2.3978708940655578</v>
      </c>
    </row>
    <row r="701" spans="1:3" x14ac:dyDescent="0.35">
      <c r="A701">
        <v>699</v>
      </c>
      <c r="B701">
        <f>B700+('Rachford-Rice-Solution'!$M$29-'Rachford-Rice-Solution'!$L$29)/999</f>
        <v>0.88334307957766001</v>
      </c>
      <c r="C701" cm="1">
        <f t="array" ref="C701">RR_Eq('Rachford-Rice-Solution'!$B$29,'Rachford-Rice-Solution'!$C$29,'Rachford-Rice-Solution'!$D$29,'Rachford-Rice-Solution'!$E$29,B701)</f>
        <v>-2.4061456434821933</v>
      </c>
    </row>
    <row r="702" spans="1:3" x14ac:dyDescent="0.35">
      <c r="A702">
        <v>700</v>
      </c>
      <c r="B702">
        <f>B701+('Rachford-Rice-Solution'!$M$29-'Rachford-Rice-Solution'!$L$29)/999</f>
        <v>0.88461058472865728</v>
      </c>
      <c r="C702" cm="1">
        <f t="array" ref="C702">RR_Eq('Rachford-Rice-Solution'!$B$29,'Rachford-Rice-Solution'!$C$29,'Rachford-Rice-Solution'!$D$29,'Rachford-Rice-Solution'!$E$29,B702)</f>
        <v>-2.4144746725474877</v>
      </c>
    </row>
    <row r="703" spans="1:3" x14ac:dyDescent="0.35">
      <c r="A703">
        <v>701</v>
      </c>
      <c r="B703">
        <f>B702+('Rachford-Rice-Solution'!$M$29-'Rachford-Rice-Solution'!$L$29)/999</f>
        <v>0.88587808987965455</v>
      </c>
      <c r="C703" cm="1">
        <f t="array" ref="C703">RR_Eq('Rachford-Rice-Solution'!$B$29,'Rachford-Rice-Solution'!$C$29,'Rachford-Rice-Solution'!$D$29,'Rachford-Rice-Solution'!$E$29,B703)</f>
        <v>-2.4228585296803362</v>
      </c>
    </row>
    <row r="704" spans="1:3" x14ac:dyDescent="0.35">
      <c r="A704">
        <v>702</v>
      </c>
      <c r="B704">
        <f>B703+('Rachford-Rice-Solution'!$M$29-'Rachford-Rice-Solution'!$L$29)/999</f>
        <v>0.88714559503065182</v>
      </c>
      <c r="C704" cm="1">
        <f t="array" ref="C704">RR_Eq('Rachford-Rice-Solution'!$B$29,'Rachford-Rice-Solution'!$C$29,'Rachford-Rice-Solution'!$D$29,'Rachford-Rice-Solution'!$E$29,B704)</f>
        <v>-2.4312977706391674</v>
      </c>
    </row>
    <row r="705" spans="1:3" x14ac:dyDescent="0.35">
      <c r="A705">
        <v>703</v>
      </c>
      <c r="B705">
        <f>B704+('Rachford-Rice-Solution'!$M$29-'Rachford-Rice-Solution'!$L$29)/999</f>
        <v>0.8884131001816491</v>
      </c>
      <c r="C705" cm="1">
        <f t="array" ref="C705">RR_Eq('Rachford-Rice-Solution'!$B$29,'Rachford-Rice-Solution'!$C$29,'Rachford-Rice-Solution'!$D$29,'Rachford-Rice-Solution'!$E$29,B705)</f>
        <v>-2.4397929586456546</v>
      </c>
    </row>
    <row r="706" spans="1:3" x14ac:dyDescent="0.35">
      <c r="A706">
        <v>704</v>
      </c>
      <c r="B706">
        <f>B705+('Rachford-Rice-Solution'!$M$29-'Rachford-Rice-Solution'!$L$29)/999</f>
        <v>0.88968060533264637</v>
      </c>
      <c r="C706" cm="1">
        <f t="array" ref="C706">RR_Eq('Rachford-Rice-Solution'!$B$29,'Rachford-Rice-Solution'!$C$29,'Rachford-Rice-Solution'!$D$29,'Rachford-Rice-Solution'!$E$29,B706)</f>
        <v>-2.448344664510945</v>
      </c>
    </row>
    <row r="707" spans="1:3" x14ac:dyDescent="0.35">
      <c r="A707">
        <v>705</v>
      </c>
      <c r="B707">
        <f>B706+('Rachford-Rice-Solution'!$M$29-'Rachford-Rice-Solution'!$L$29)/999</f>
        <v>0.89094811048364364</v>
      </c>
      <c r="C707" cm="1">
        <f t="array" ref="C707">RR_Eq('Rachford-Rice-Solution'!$B$29,'Rachford-Rice-Solution'!$C$29,'Rachford-Rice-Solution'!$D$29,'Rachford-Rice-Solution'!$E$29,B707)</f>
        <v>-2.4569534667644453</v>
      </c>
    </row>
    <row r="708" spans="1:3" x14ac:dyDescent="0.35">
      <c r="A708">
        <v>706</v>
      </c>
      <c r="B708">
        <f>B707+('Rachford-Rice-Solution'!$M$29-'Rachford-Rice-Solution'!$L$29)/999</f>
        <v>0.89221561563464091</v>
      </c>
      <c r="C708" cm="1">
        <f t="array" ref="C708">RR_Eq('Rachford-Rice-Solution'!$B$29,'Rachford-Rice-Solution'!$C$29,'Rachford-Rice-Solution'!$D$29,'Rachford-Rice-Solution'!$E$29,B708)</f>
        <v>-2.4656199517852384</v>
      </c>
    </row>
    <row r="709" spans="1:3" x14ac:dyDescent="0.35">
      <c r="A709">
        <v>707</v>
      </c>
      <c r="B709">
        <f>B708+('Rachford-Rice-Solution'!$M$29-'Rachford-Rice-Solution'!$L$29)/999</f>
        <v>0.89348312078563819</v>
      </c>
      <c r="C709" cm="1">
        <f t="array" ref="C709">RR_Eq('Rachford-Rice-Solution'!$B$29,'Rachford-Rice-Solution'!$C$29,'Rachford-Rice-Solution'!$D$29,'Rachford-Rice-Solution'!$E$29,B709)</f>
        <v>-2.4743447139361905</v>
      </c>
    </row>
    <row r="710" spans="1:3" x14ac:dyDescent="0.35">
      <c r="A710">
        <v>708</v>
      </c>
      <c r="B710">
        <f>B709+('Rachford-Rice-Solution'!$M$29-'Rachford-Rice-Solution'!$L$29)/999</f>
        <v>0.89475062593663546</v>
      </c>
      <c r="C710" cm="1">
        <f t="array" ref="C710">RR_Eq('Rachford-Rice-Solution'!$B$29,'Rachford-Rice-Solution'!$C$29,'Rachford-Rice-Solution'!$D$29,'Rachford-Rice-Solution'!$E$29,B710)</f>
        <v>-2.4831283557008139</v>
      </c>
    </row>
    <row r="711" spans="1:3" x14ac:dyDescent="0.35">
      <c r="A711">
        <v>709</v>
      </c>
      <c r="B711">
        <f>B710+('Rachford-Rice-Solution'!$M$29-'Rachford-Rice-Solution'!$L$29)/999</f>
        <v>0.89601813108763273</v>
      </c>
      <c r="C711" cm="1">
        <f t="array" ref="C711">RR_Eq('Rachford-Rice-Solution'!$B$29,'Rachford-Rice-Solution'!$C$29,'Rachford-Rice-Solution'!$D$29,'Rachford-Rice-Solution'!$E$29,B711)</f>
        <v>-2.4919714878229424</v>
      </c>
    </row>
    <row r="712" spans="1:3" x14ac:dyDescent="0.35">
      <c r="A712">
        <v>710</v>
      </c>
      <c r="B712">
        <f>B711+('Rachford-Rice-Solution'!$M$29-'Rachford-Rice-Solution'!$L$29)/999</f>
        <v>0.89728563623863</v>
      </c>
      <c r="C712" cm="1">
        <f t="array" ref="C712">RR_Eq('Rachford-Rice-Solution'!$B$29,'Rachford-Rice-Solution'!$C$29,'Rachford-Rice-Solution'!$D$29,'Rachford-Rice-Solution'!$E$29,B712)</f>
        <v>-2.5008747294493054</v>
      </c>
    </row>
    <row r="713" spans="1:3" x14ac:dyDescent="0.35">
      <c r="A713">
        <v>711</v>
      </c>
      <c r="B713">
        <f>B712+('Rachford-Rice-Solution'!$M$29-'Rachford-Rice-Solution'!$L$29)/999</f>
        <v>0.89855314138962727</v>
      </c>
      <c r="C713" cm="1">
        <f t="array" ref="C713">RR_Eq('Rachford-Rice-Solution'!$B$29,'Rachford-Rice-Solution'!$C$29,'Rachford-Rice-Solution'!$D$29,'Rachford-Rice-Solution'!$E$29,B713)</f>
        <v>-2.5098387082750522</v>
      </c>
    </row>
    <row r="714" spans="1:3" x14ac:dyDescent="0.35">
      <c r="A714">
        <v>712</v>
      </c>
      <c r="B714">
        <f>B713+('Rachford-Rice-Solution'!$M$29-'Rachford-Rice-Solution'!$L$29)/999</f>
        <v>0.89982064654062455</v>
      </c>
      <c r="C714" cm="1">
        <f t="array" ref="C714">RR_Eq('Rachford-Rice-Solution'!$B$29,'Rachford-Rice-Solution'!$C$29,'Rachford-Rice-Solution'!$D$29,'Rachford-Rice-Solution'!$E$29,B714)</f>
        <v>-2.5188640606923172</v>
      </c>
    </row>
    <row r="715" spans="1:3" x14ac:dyDescent="0.35">
      <c r="A715">
        <v>713</v>
      </c>
      <c r="B715">
        <f>B714+('Rachford-Rice-Solution'!$M$29-'Rachford-Rice-Solution'!$L$29)/999</f>
        <v>0.90108815169162182</v>
      </c>
      <c r="C715" cm="1">
        <f t="array" ref="C715">RR_Eq('Rachford-Rice-Solution'!$B$29,'Rachford-Rice-Solution'!$C$29,'Rachford-Rice-Solution'!$D$29,'Rachford-Rice-Solution'!$E$29,B715)</f>
        <v>-2.5279514319418754</v>
      </c>
    </row>
    <row r="716" spans="1:3" x14ac:dyDescent="0.35">
      <c r="A716">
        <v>714</v>
      </c>
      <c r="B716">
        <f>B715+('Rachford-Rice-Solution'!$M$29-'Rachford-Rice-Solution'!$L$29)/999</f>
        <v>0.90235565684261909</v>
      </c>
      <c r="C716" cm="1">
        <f t="array" ref="C716">RR_Eq('Rachford-Rice-Solution'!$B$29,'Rachford-Rice-Solution'!$C$29,'Rachford-Rice-Solution'!$D$29,'Rachford-Rice-Solution'!$E$29,B716)</f>
        <v>-2.5371014762679946</v>
      </c>
    </row>
    <row r="717" spans="1:3" x14ac:dyDescent="0.35">
      <c r="A717">
        <v>715</v>
      </c>
      <c r="B717">
        <f>B716+('Rachford-Rice-Solution'!$M$29-'Rachford-Rice-Solution'!$L$29)/999</f>
        <v>0.90362316199361636</v>
      </c>
      <c r="C717" cm="1">
        <f t="array" ref="C717">RR_Eq('Rachford-Rice-Solution'!$B$29,'Rachford-Rice-Solution'!$C$29,'Rachford-Rice-Solution'!$D$29,'Rachford-Rice-Solution'!$E$29,B717)</f>
        <v>-2.5463148570765313</v>
      </c>
    </row>
    <row r="718" spans="1:3" x14ac:dyDescent="0.35">
      <c r="A718">
        <v>716</v>
      </c>
      <c r="B718">
        <f>B717+('Rachford-Rice-Solution'!$M$29-'Rachford-Rice-Solution'!$L$29)/999</f>
        <v>0.90489066714461364</v>
      </c>
      <c r="C718" cm="1">
        <f t="array" ref="C718">RR_Eq('Rachford-Rice-Solution'!$B$29,'Rachford-Rice-Solution'!$C$29,'Rachford-Rice-Solution'!$D$29,'Rachford-Rice-Solution'!$E$29,B718)</f>
        <v>-2.5555922470963739</v>
      </c>
    </row>
    <row r="719" spans="1:3" x14ac:dyDescent="0.35">
      <c r="A719">
        <v>717</v>
      </c>
      <c r="B719">
        <f>B718+('Rachford-Rice-Solution'!$M$29-'Rachford-Rice-Solution'!$L$29)/999</f>
        <v>0.90615817229561091</v>
      </c>
      <c r="C719" cm="1">
        <f t="array" ref="C719">RR_Eq('Rachford-Rice-Solution'!$B$29,'Rachford-Rice-Solution'!$C$29,'Rachford-Rice-Solution'!$D$29,'Rachford-Rice-Solution'!$E$29,B719)</f>
        <v>-2.5649343285443083</v>
      </c>
    </row>
    <row r="720" spans="1:3" x14ac:dyDescent="0.35">
      <c r="A720">
        <v>718</v>
      </c>
      <c r="B720">
        <f>B719+('Rachford-Rice-Solution'!$M$29-'Rachford-Rice-Solution'!$L$29)/999</f>
        <v>0.90742567744660818</v>
      </c>
      <c r="C720" cm="1">
        <f t="array" ref="C720">RR_Eq('Rachford-Rice-Solution'!$B$29,'Rachford-Rice-Solution'!$C$29,'Rachford-Rice-Solution'!$D$29,'Rachford-Rice-Solution'!$E$29,B720)</f>
        <v>-2.5743417932933839</v>
      </c>
    </row>
    <row r="721" spans="1:3" x14ac:dyDescent="0.35">
      <c r="A721">
        <v>719</v>
      </c>
      <c r="B721">
        <f>B720+('Rachford-Rice-Solution'!$M$29-'Rachford-Rice-Solution'!$L$29)/999</f>
        <v>0.90869318259760545</v>
      </c>
      <c r="C721" cm="1">
        <f t="array" ref="C721">RR_Eq('Rachford-Rice-Solution'!$B$29,'Rachford-Rice-Solution'!$C$29,'Rachford-Rice-Solution'!$D$29,'Rachford-Rice-Solution'!$E$29,B721)</f>
        <v>-2.5838153430448791</v>
      </c>
    </row>
    <row r="722" spans="1:3" x14ac:dyDescent="0.35">
      <c r="A722">
        <v>720</v>
      </c>
      <c r="B722">
        <f>B721+('Rachford-Rice-Solution'!$M$29-'Rachford-Rice-Solution'!$L$29)/999</f>
        <v>0.90996068774860273</v>
      </c>
      <c r="C722" cm="1">
        <f t="array" ref="C722">RR_Eq('Rachford-Rice-Solution'!$B$29,'Rachford-Rice-Solution'!$C$29,'Rachford-Rice-Solution'!$D$29,'Rachford-Rice-Solution'!$E$29,B722)</f>
        <v>-2.5933556895039493</v>
      </c>
    </row>
    <row r="723" spans="1:3" x14ac:dyDescent="0.35">
      <c r="A723">
        <v>721</v>
      </c>
      <c r="B723">
        <f>B722+('Rachford-Rice-Solution'!$M$29-'Rachford-Rice-Solution'!$L$29)/999</f>
        <v>0.9112281928996</v>
      </c>
      <c r="C723" cm="1">
        <f t="array" ref="C723">RR_Eq('Rachford-Rice-Solution'!$B$29,'Rachford-Rice-Solution'!$C$29,'Rachford-Rice-Solution'!$D$29,'Rachford-Rice-Solution'!$E$29,B723)</f>
        <v>-2.6029635545590475</v>
      </c>
    </row>
    <row r="724" spans="1:3" x14ac:dyDescent="0.35">
      <c r="A724">
        <v>722</v>
      </c>
      <c r="B724">
        <f>B723+('Rachford-Rice-Solution'!$M$29-'Rachford-Rice-Solution'!$L$29)/999</f>
        <v>0.91249569805059727</v>
      </c>
      <c r="C724" cm="1">
        <f t="array" ref="C724">RR_Eq('Rachford-Rice-Solution'!$B$29,'Rachford-Rice-Solution'!$C$29,'Rachford-Rice-Solution'!$D$29,'Rachford-Rice-Solution'!$E$29,B724)</f>
        <v>-2.6126396704652204</v>
      </c>
    </row>
    <row r="725" spans="1:3" x14ac:dyDescent="0.35">
      <c r="A725">
        <v>723</v>
      </c>
      <c r="B725">
        <f>B724+('Rachford-Rice-Solution'!$M$29-'Rachford-Rice-Solution'!$L$29)/999</f>
        <v>0.91376320320159454</v>
      </c>
      <c r="C725" cm="1">
        <f t="array" ref="C725">RR_Eq('Rachford-Rice-Solution'!$B$29,'Rachford-Rice-Solution'!$C$29,'Rachford-Rice-Solution'!$D$29,'Rachford-Rice-Solution'!$E$29,B725)</f>
        <v>-2.6223847800313722</v>
      </c>
    </row>
    <row r="726" spans="1:3" x14ac:dyDescent="0.35">
      <c r="A726">
        <v>724</v>
      </c>
      <c r="B726">
        <f>B725+('Rachford-Rice-Solution'!$M$29-'Rachford-Rice-Solution'!$L$29)/999</f>
        <v>0.91503070835259182</v>
      </c>
      <c r="C726" cm="1">
        <f t="array" ref="C726">RR_Eq('Rachford-Rice-Solution'!$B$29,'Rachford-Rice-Solution'!$C$29,'Rachford-Rice-Solution'!$D$29,'Rachford-Rice-Solution'!$E$29,B726)</f>
        <v>-2.6321996368115976</v>
      </c>
    </row>
    <row r="727" spans="1:3" x14ac:dyDescent="0.35">
      <c r="A727">
        <v>725</v>
      </c>
      <c r="B727">
        <f>B726+('Rachford-Rice-Solution'!$M$29-'Rachford-Rice-Solution'!$L$29)/999</f>
        <v>0.91629821350358909</v>
      </c>
      <c r="C727" cm="1">
        <f t="array" ref="C727">RR_Eq('Rachford-Rice-Solution'!$B$29,'Rachford-Rice-Solution'!$C$29,'Rachford-Rice-Solution'!$D$29,'Rachford-Rice-Solution'!$E$29,B727)</f>
        <v>-2.6420850053006872</v>
      </c>
    </row>
    <row r="728" spans="1:3" x14ac:dyDescent="0.35">
      <c r="A728">
        <v>726</v>
      </c>
      <c r="B728">
        <f>B727+('Rachford-Rice-Solution'!$M$29-'Rachford-Rice-Solution'!$L$29)/999</f>
        <v>0.91756571865458636</v>
      </c>
      <c r="C728" cm="1">
        <f t="array" ref="C728">RR_Eq('Rachford-Rice-Solution'!$B$29,'Rachford-Rice-Solution'!$C$29,'Rachford-Rice-Solution'!$D$29,'Rachford-Rice-Solution'!$E$29,B728)</f>
        <v>-2.6520416611339201</v>
      </c>
    </row>
    <row r="729" spans="1:3" x14ac:dyDescent="0.35">
      <c r="A729">
        <v>727</v>
      </c>
      <c r="B729">
        <f>B728+('Rachford-Rice-Solution'!$M$29-'Rachford-Rice-Solution'!$L$29)/999</f>
        <v>0.91883322380558363</v>
      </c>
      <c r="C729" cm="1">
        <f t="array" ref="C729">RR_Eq('Rachford-Rice-Solution'!$B$29,'Rachford-Rice-Solution'!$C$29,'Rachford-Rice-Solution'!$D$29,'Rachford-Rice-Solution'!$E$29,B729)</f>
        <v>-2.6620703912912318</v>
      </c>
    </row>
    <row r="730" spans="1:3" x14ac:dyDescent="0.35">
      <c r="A730">
        <v>728</v>
      </c>
      <c r="B730">
        <f>B729+('Rachford-Rice-Solution'!$M$29-'Rachford-Rice-Solution'!$L$29)/999</f>
        <v>0.9201007289565809</v>
      </c>
      <c r="C730" cm="1">
        <f t="array" ref="C730">RR_Eq('Rachford-Rice-Solution'!$B$29,'Rachford-Rice-Solution'!$C$29,'Rachford-Rice-Solution'!$D$29,'Rachford-Rice-Solution'!$E$29,B730)</f>
        <v>-2.6721719943059008</v>
      </c>
    </row>
    <row r="731" spans="1:3" x14ac:dyDescent="0.35">
      <c r="A731">
        <v>729</v>
      </c>
      <c r="B731">
        <f>B730+('Rachford-Rice-Solution'!$M$29-'Rachford-Rice-Solution'!$L$29)/999</f>
        <v>0.92136823410757818</v>
      </c>
      <c r="C731" cm="1">
        <f t="array" ref="C731">RR_Eq('Rachford-Rice-Solution'!$B$29,'Rachford-Rice-Solution'!$C$29,'Rachford-Rice-Solution'!$D$29,'Rachford-Rice-Solution'!$E$29,B731)</f>
        <v>-2.6823472804778419</v>
      </c>
    </row>
    <row r="732" spans="1:3" x14ac:dyDescent="0.35">
      <c r="A732">
        <v>730</v>
      </c>
      <c r="B732">
        <f>B731+('Rachford-Rice-Solution'!$M$29-'Rachford-Rice-Solution'!$L$29)/999</f>
        <v>0.92263573925857545</v>
      </c>
      <c r="C732" cm="1">
        <f t="array" ref="C732">RR_Eq('Rachford-Rice-Solution'!$B$29,'Rachford-Rice-Solution'!$C$29,'Rachford-Rice-Solution'!$D$29,'Rachford-Rice-Solution'!$E$29,B732)</f>
        <v>-2.6925970720916466</v>
      </c>
    </row>
    <row r="733" spans="1:3" x14ac:dyDescent="0.35">
      <c r="A733">
        <v>731</v>
      </c>
      <c r="B733">
        <f>B732+('Rachford-Rice-Solution'!$M$29-'Rachford-Rice-Solution'!$L$29)/999</f>
        <v>0.92390324440957272</v>
      </c>
      <c r="C733" cm="1">
        <f t="array" ref="C733">RR_Eq('Rachford-Rice-Solution'!$B$29,'Rachford-Rice-Solution'!$C$29,'Rachford-Rice-Solution'!$D$29,'Rachford-Rice-Solution'!$E$29,B733)</f>
        <v>-2.7029222036394818</v>
      </c>
    </row>
    <row r="734" spans="1:3" x14ac:dyDescent="0.35">
      <c r="A734">
        <v>732</v>
      </c>
      <c r="B734">
        <f>B733+('Rachford-Rice-Solution'!$M$29-'Rachford-Rice-Solution'!$L$29)/999</f>
        <v>0.92517074956056999</v>
      </c>
      <c r="C734" cm="1">
        <f t="array" ref="C734">RR_Eq('Rachford-Rice-Solution'!$B$29,'Rachford-Rice-Solution'!$C$29,'Rachford-Rice-Solution'!$D$29,'Rachford-Rice-Solution'!$E$29,B734)</f>
        <v>-2.7133235220489791</v>
      </c>
    </row>
    <row r="735" spans="1:3" x14ac:dyDescent="0.35">
      <c r="A735">
        <v>733</v>
      </c>
      <c r="B735">
        <f>B734+('Rachford-Rice-Solution'!$M$29-'Rachford-Rice-Solution'!$L$29)/999</f>
        <v>0.92643825471156727</v>
      </c>
      <c r="C735" cm="1">
        <f t="array" ref="C735">RR_Eq('Rachford-Rice-Solution'!$B$29,'Rachford-Rice-Solution'!$C$29,'Rachford-Rice-Solution'!$D$29,'Rachford-Rice-Solution'!$E$29,B735)</f>
        <v>-2.7238018869162408</v>
      </c>
    </row>
    <row r="736" spans="1:3" x14ac:dyDescent="0.35">
      <c r="A736">
        <v>734</v>
      </c>
      <c r="B736">
        <f>B735+('Rachford-Rice-Solution'!$M$29-'Rachford-Rice-Solution'!$L$29)/999</f>
        <v>0.92770575986256454</v>
      </c>
      <c r="C736" cm="1">
        <f t="array" ref="C736">RR_Eq('Rachford-Rice-Solution'!$B$29,'Rachford-Rice-Solution'!$C$29,'Rachford-Rice-Solution'!$D$29,'Rachford-Rice-Solution'!$E$29,B736)</f>
        <v>-2.7343581707441054</v>
      </c>
    </row>
    <row r="737" spans="1:3" x14ac:dyDescent="0.35">
      <c r="A737">
        <v>735</v>
      </c>
      <c r="B737">
        <f>B736+('Rachford-Rice-Solution'!$M$29-'Rachford-Rice-Solution'!$L$29)/999</f>
        <v>0.92897326501356181</v>
      </c>
      <c r="C737" cm="1">
        <f t="array" ref="C737">RR_Eq('Rachford-Rice-Solution'!$B$29,'Rachford-Rice-Solution'!$C$29,'Rachford-Rice-Solution'!$D$29,'Rachford-Rice-Solution'!$E$29,B737)</f>
        <v>-2.7449932591858031</v>
      </c>
    </row>
    <row r="738" spans="1:3" x14ac:dyDescent="0.35">
      <c r="A738">
        <v>736</v>
      </c>
      <c r="B738">
        <f>B737+('Rachford-Rice-Solution'!$M$29-'Rachford-Rice-Solution'!$L$29)/999</f>
        <v>0.93024077016455908</v>
      </c>
      <c r="C738" cm="1">
        <f t="array" ref="C738">RR_Eq('Rachford-Rice-Solution'!$B$29,'Rachford-Rice-Solution'!$C$29,'Rachford-Rice-Solution'!$D$29,'Rachford-Rice-Solution'!$E$29,B738)</f>
        <v>-2.7557080512941505</v>
      </c>
    </row>
    <row r="739" spans="1:3" x14ac:dyDescent="0.35">
      <c r="A739">
        <v>737</v>
      </c>
      <c r="B739">
        <f>B738+('Rachford-Rice-Solution'!$M$29-'Rachford-Rice-Solution'!$L$29)/999</f>
        <v>0.93150827531555636</v>
      </c>
      <c r="C739" cm="1">
        <f t="array" ref="C739">RR_Eq('Rachford-Rice-Solution'!$B$29,'Rachford-Rice-Solution'!$C$29,'Rachford-Rice-Solution'!$D$29,'Rachford-Rice-Solution'!$E$29,B739)</f>
        <v>-2.766503459776426</v>
      </c>
    </row>
    <row r="740" spans="1:3" x14ac:dyDescent="0.35">
      <c r="A740">
        <v>738</v>
      </c>
      <c r="B740">
        <f>B739+('Rachford-Rice-Solution'!$M$29-'Rachford-Rice-Solution'!$L$29)/999</f>
        <v>0.93277578046655363</v>
      </c>
      <c r="C740" cm="1">
        <f t="array" ref="C740">RR_Eq('Rachford-Rice-Solution'!$B$29,'Rachford-Rice-Solution'!$C$29,'Rachford-Rice-Solution'!$D$29,'Rachford-Rice-Solution'!$E$29,B740)</f>
        <v>-2.7773804112550859</v>
      </c>
    </row>
    <row r="741" spans="1:3" x14ac:dyDescent="0.35">
      <c r="A741">
        <v>739</v>
      </c>
      <c r="B741">
        <f>B740+('Rachford-Rice-Solution'!$M$29-'Rachford-Rice-Solution'!$L$29)/999</f>
        <v>0.9340432856175509</v>
      </c>
      <c r="C741" cm="1">
        <f t="array" ref="C741">RR_Eq('Rachford-Rice-Solution'!$B$29,'Rachford-Rice-Solution'!$C$29,'Rachford-Rice-Solution'!$D$29,'Rachford-Rice-Solution'!$E$29,B741)</f>
        <v>-2.7883398465344671</v>
      </c>
    </row>
    <row r="742" spans="1:3" x14ac:dyDescent="0.35">
      <c r="A742">
        <v>740</v>
      </c>
      <c r="B742">
        <f>B741+('Rachford-Rice-Solution'!$M$29-'Rachford-Rice-Solution'!$L$29)/999</f>
        <v>0.93531079076854817</v>
      </c>
      <c r="C742" cm="1">
        <f t="array" ref="C742">RR_Eq('Rachford-Rice-Solution'!$B$29,'Rachford-Rice-Solution'!$C$29,'Rachford-Rice-Solution'!$D$29,'Rachford-Rice-Solution'!$E$29,B742)</f>
        <v>-2.7993827208736466</v>
      </c>
    </row>
    <row r="743" spans="1:3" x14ac:dyDescent="0.35">
      <c r="A743">
        <v>741</v>
      </c>
      <c r="B743">
        <f>B742+('Rachford-Rice-Solution'!$M$29-'Rachford-Rice-Solution'!$L$29)/999</f>
        <v>0.93657829591954544</v>
      </c>
      <c r="C743" cm="1">
        <f t="array" ref="C743">RR_Eq('Rachford-Rice-Solution'!$B$29,'Rachford-Rice-Solution'!$C$29,'Rachford-Rice-Solution'!$D$29,'Rachford-Rice-Solution'!$E$29,B743)</f>
        <v>-2.8105100042656206</v>
      </c>
    </row>
    <row r="744" spans="1:3" x14ac:dyDescent="0.35">
      <c r="A744">
        <v>742</v>
      </c>
      <c r="B744">
        <f>B743+('Rachford-Rice-Solution'!$M$29-'Rachford-Rice-Solution'!$L$29)/999</f>
        <v>0.93784580107054272</v>
      </c>
      <c r="C744" cm="1">
        <f t="array" ref="C744">RR_Eq('Rachford-Rice-Solution'!$B$29,'Rachford-Rice-Solution'!$C$29,'Rachford-Rice-Solution'!$D$29,'Rachford-Rice-Solution'!$E$29,B744)</f>
        <v>-2.8217226817229761</v>
      </c>
    </row>
    <row r="745" spans="1:3" x14ac:dyDescent="0.35">
      <c r="A745">
        <v>743</v>
      </c>
      <c r="B745">
        <f>B744+('Rachford-Rice-Solution'!$M$29-'Rachford-Rice-Solution'!$L$29)/999</f>
        <v>0.93911330622153999</v>
      </c>
      <c r="C745" cm="1">
        <f t="array" ref="C745">RR_Eq('Rachford-Rice-Solution'!$B$29,'Rachford-Rice-Solution'!$C$29,'Rachford-Rice-Solution'!$D$29,'Rachford-Rice-Solution'!$E$29,B745)</f>
        <v>-2.8330217535702311</v>
      </c>
    </row>
    <row r="746" spans="1:3" x14ac:dyDescent="0.35">
      <c r="A746">
        <v>744</v>
      </c>
      <c r="B746">
        <f>B745+('Rachford-Rice-Solution'!$M$29-'Rachford-Rice-Solution'!$L$29)/999</f>
        <v>0.94038081137253726</v>
      </c>
      <c r="C746" cm="1">
        <f t="array" ref="C746">RR_Eq('Rachford-Rice-Solution'!$B$29,'Rachford-Rice-Solution'!$C$29,'Rachford-Rice-Solution'!$D$29,'Rachford-Rice-Solution'!$E$29,B746)</f>
        <v>-2.8444082357430167</v>
      </c>
    </row>
    <row r="747" spans="1:3" x14ac:dyDescent="0.35">
      <c r="A747">
        <v>745</v>
      </c>
      <c r="B747">
        <f>B746+('Rachford-Rice-Solution'!$M$29-'Rachford-Rice-Solution'!$L$29)/999</f>
        <v>0.94164831652353453</v>
      </c>
      <c r="C747" cm="1">
        <f t="array" ref="C747">RR_Eq('Rachford-Rice-Solution'!$B$29,'Rachford-Rice-Solution'!$C$29,'Rachford-Rice-Solution'!$D$29,'Rachford-Rice-Solution'!$E$29,B747)</f>
        <v>-2.8558831600943191</v>
      </c>
    </row>
    <row r="748" spans="1:3" x14ac:dyDescent="0.35">
      <c r="A748">
        <v>746</v>
      </c>
      <c r="B748">
        <f>B747+('Rachford-Rice-Solution'!$M$29-'Rachford-Rice-Solution'!$L$29)/999</f>
        <v>0.94291582167453181</v>
      </c>
      <c r="C748" cm="1">
        <f t="array" ref="C748">RR_Eq('Rachford-Rice-Solution'!$B$29,'Rachford-Rice-Solution'!$C$29,'Rachford-Rice-Solution'!$D$29,'Rachford-Rice-Solution'!$E$29,B748)</f>
        <v>-2.8674475747079247</v>
      </c>
    </row>
    <row r="749" spans="1:3" x14ac:dyDescent="0.35">
      <c r="A749">
        <v>747</v>
      </c>
      <c r="B749">
        <f>B748+('Rachford-Rice-Solution'!$M$29-'Rachford-Rice-Solution'!$L$29)/999</f>
        <v>0.94418332682552908</v>
      </c>
      <c r="C749" cm="1">
        <f t="array" ref="C749">RR_Eq('Rachford-Rice-Solution'!$B$29,'Rachford-Rice-Solution'!$C$29,'Rachford-Rice-Solution'!$D$29,'Rachford-Rice-Solution'!$E$29,B749)</f>
        <v>-2.8791025442193252</v>
      </c>
    </row>
    <row r="750" spans="1:3" x14ac:dyDescent="0.35">
      <c r="A750">
        <v>748</v>
      </c>
      <c r="B750">
        <f>B749+('Rachford-Rice-Solution'!$M$29-'Rachford-Rice-Solution'!$L$29)/999</f>
        <v>0.94545083197652635</v>
      </c>
      <c r="C750" cm="1">
        <f t="array" ref="C750">RR_Eq('Rachford-Rice-Solution'!$B$29,'Rachford-Rice-Solution'!$C$29,'Rachford-Rice-Solution'!$D$29,'Rachford-Rice-Solution'!$E$29,B750)</f>
        <v>-2.8908491501442461</v>
      </c>
    </row>
    <row r="751" spans="1:3" x14ac:dyDescent="0.35">
      <c r="A751">
        <v>749</v>
      </c>
      <c r="B751">
        <f>B750+('Rachford-Rice-Solution'!$M$29-'Rachford-Rice-Solution'!$L$29)/999</f>
        <v>0.94671833712752362</v>
      </c>
      <c r="C751" cm="1">
        <f t="array" ref="C751">RR_Eq('Rachford-Rice-Solution'!$B$29,'Rachford-Rice-Solution'!$C$29,'Rachford-Rice-Solution'!$D$29,'Rachford-Rice-Solution'!$E$29,B751)</f>
        <v>-2.9026884912150321</v>
      </c>
    </row>
    <row r="752" spans="1:3" x14ac:dyDescent="0.35">
      <c r="A752">
        <v>750</v>
      </c>
      <c r="B752">
        <f>B751+('Rachford-Rice-Solution'!$M$29-'Rachford-Rice-Solution'!$L$29)/999</f>
        <v>0.9479858422785209</v>
      </c>
      <c r="C752" cm="1">
        <f t="array" ref="C752">RR_Eq('Rachford-Rice-Solution'!$B$29,'Rachford-Rice-Solution'!$C$29,'Rachford-Rice-Solution'!$D$29,'Rachford-Rice-Solution'!$E$29,B752)</f>
        <v>-2.9146216837251058</v>
      </c>
    </row>
    <row r="753" spans="1:3" x14ac:dyDescent="0.35">
      <c r="A753">
        <v>751</v>
      </c>
      <c r="B753">
        <f>B752+('Rachford-Rice-Solution'!$M$29-'Rachford-Rice-Solution'!$L$29)/999</f>
        <v>0.94925334742951817</v>
      </c>
      <c r="C753" cm="1">
        <f t="array" ref="C753">RR_Eq('Rachford-Rice-Solution'!$B$29,'Rachford-Rice-Solution'!$C$29,'Rachford-Rice-Solution'!$D$29,'Rachford-Rice-Solution'!$E$29,B753)</f>
        <v>-2.9266498618817267</v>
      </c>
    </row>
    <row r="754" spans="1:3" x14ac:dyDescent="0.35">
      <c r="A754">
        <v>752</v>
      </c>
      <c r="B754">
        <f>B753+('Rachford-Rice-Solution'!$M$29-'Rachford-Rice-Solution'!$L$29)/999</f>
        <v>0.95052085258051544</v>
      </c>
      <c r="C754" cm="1">
        <f t="array" ref="C754">RR_Eq('Rachford-Rice-Solution'!$B$29,'Rachford-Rice-Solution'!$C$29,'Rachford-Rice-Solution'!$D$29,'Rachford-Rice-Solution'!$E$29,B754)</f>
        <v>-2.9387741781672765</v>
      </c>
    </row>
    <row r="755" spans="1:3" x14ac:dyDescent="0.35">
      <c r="A755">
        <v>753</v>
      </c>
      <c r="B755">
        <f>B754+('Rachford-Rice-Solution'!$M$29-'Rachford-Rice-Solution'!$L$29)/999</f>
        <v>0.95178835773151271</v>
      </c>
      <c r="C755" cm="1">
        <f t="array" ref="C755">RR_Eq('Rachford-Rice-Solution'!$B$29,'Rachford-Rice-Solution'!$C$29,'Rachford-Rice-Solution'!$D$29,'Rachford-Rice-Solution'!$E$29,B755)</f>
        <v>-2.9509958037093273</v>
      </c>
    </row>
    <row r="756" spans="1:3" x14ac:dyDescent="0.35">
      <c r="A756">
        <v>754</v>
      </c>
      <c r="B756">
        <f>B755+('Rachford-Rice-Solution'!$M$29-'Rachford-Rice-Solution'!$L$29)/999</f>
        <v>0.95305586288250999</v>
      </c>
      <c r="C756" cm="1">
        <f t="array" ref="C756">RR_Eq('Rachford-Rice-Solution'!$B$29,'Rachford-Rice-Solution'!$C$29,'Rachford-Rice-Solution'!$D$29,'Rachford-Rice-Solution'!$E$29,B756)</f>
        <v>-2.9633159286597333</v>
      </c>
    </row>
    <row r="757" spans="1:3" x14ac:dyDescent="0.35">
      <c r="A757">
        <v>755</v>
      </c>
      <c r="B757">
        <f>B756+('Rachford-Rice-Solution'!$M$29-'Rachford-Rice-Solution'!$L$29)/999</f>
        <v>0.95432336803350726</v>
      </c>
      <c r="C757" cm="1">
        <f t="array" ref="C757">RR_Eq('Rachford-Rice-Solution'!$B$29,'Rachford-Rice-Solution'!$C$29,'Rachford-Rice-Solution'!$D$29,'Rachford-Rice-Solution'!$E$29,B757)</f>
        <v>-2.9757357625830028</v>
      </c>
    </row>
    <row r="758" spans="1:3" x14ac:dyDescent="0.35">
      <c r="A758">
        <v>756</v>
      </c>
      <c r="B758">
        <f>B757+('Rachford-Rice-Solution'!$M$29-'Rachford-Rice-Solution'!$L$29)/999</f>
        <v>0.95559087318450453</v>
      </c>
      <c r="C758" cm="1">
        <f t="array" ref="C758">RR_Eq('Rachford-Rice-Solution'!$B$29,'Rachford-Rice-Solution'!$C$29,'Rachford-Rice-Solution'!$D$29,'Rachford-Rice-Solution'!$E$29,B758)</f>
        <v>-2.9882565348542194</v>
      </c>
    </row>
    <row r="759" spans="1:3" x14ac:dyDescent="0.35">
      <c r="A759">
        <v>757</v>
      </c>
      <c r="B759">
        <f>B758+('Rachford-Rice-Solution'!$M$29-'Rachford-Rice-Solution'!$L$29)/999</f>
        <v>0.9568583783355018</v>
      </c>
      <c r="C759" cm="1">
        <f t="array" ref="C759">RR_Eq('Rachford-Rice-Solution'!$B$29,'Rachford-Rice-Solution'!$C$29,'Rachford-Rice-Solution'!$D$29,'Rachford-Rice-Solution'!$E$29,B759)</f>
        <v>-3.000879495066795</v>
      </c>
    </row>
    <row r="760" spans="1:3" x14ac:dyDescent="0.35">
      <c r="A760">
        <v>758</v>
      </c>
      <c r="B760">
        <f>B759+('Rachford-Rice-Solution'!$M$29-'Rachford-Rice-Solution'!$L$29)/999</f>
        <v>0.95812588348649907</v>
      </c>
      <c r="C760" cm="1">
        <f t="array" ref="C760">RR_Eq('Rachford-Rice-Solution'!$B$29,'Rachford-Rice-Solution'!$C$29,'Rachford-Rice-Solution'!$D$29,'Rachford-Rice-Solution'!$E$29,B760)</f>
        <v>-3.0136059134503159</v>
      </c>
    </row>
    <row r="761" spans="1:3" x14ac:dyDescent="0.35">
      <c r="A761">
        <v>759</v>
      </c>
      <c r="B761">
        <f>B760+('Rachford-Rice-Solution'!$M$29-'Rachford-Rice-Solution'!$L$29)/999</f>
        <v>0.95939338863749635</v>
      </c>
      <c r="C761" cm="1">
        <f t="array" ref="C761">RR_Eq('Rachford-Rice-Solution'!$B$29,'Rachford-Rice-Solution'!$C$29,'Rachford-Rice-Solution'!$D$29,'Rachford-Rice-Solution'!$E$29,B761)</f>
        <v>-3.0264370812988077</v>
      </c>
    </row>
    <row r="762" spans="1:3" x14ac:dyDescent="0.35">
      <c r="A762">
        <v>760</v>
      </c>
      <c r="B762">
        <f>B761+('Rachford-Rice-Solution'!$M$29-'Rachford-Rice-Solution'!$L$29)/999</f>
        <v>0.96066089378849362</v>
      </c>
      <c r="C762" cm="1">
        <f t="array" ref="C762">RR_Eq('Rachford-Rice-Solution'!$B$29,'Rachford-Rice-Solution'!$C$29,'Rachford-Rice-Solution'!$D$29,'Rachford-Rice-Solution'!$E$29,B762)</f>
        <v>-3.0393743114096949</v>
      </c>
    </row>
    <row r="763" spans="1:3" x14ac:dyDescent="0.35">
      <c r="A763">
        <v>761</v>
      </c>
      <c r="B763">
        <f>B762+('Rachford-Rice-Solution'!$M$29-'Rachford-Rice-Solution'!$L$29)/999</f>
        <v>0.96192839893949089</v>
      </c>
      <c r="C763" cm="1">
        <f t="array" ref="C763">RR_Eq('Rachford-Rice-Solution'!$B$29,'Rachford-Rice-Solution'!$C$29,'Rachford-Rice-Solution'!$D$29,'Rachford-Rice-Solution'!$E$29,B763)</f>
        <v>-3.0524189385337834</v>
      </c>
    </row>
    <row r="764" spans="1:3" x14ac:dyDescent="0.35">
      <c r="A764">
        <v>762</v>
      </c>
      <c r="B764">
        <f>B763+('Rachford-Rice-Solution'!$M$29-'Rachford-Rice-Solution'!$L$29)/999</f>
        <v>0.96319590409048816</v>
      </c>
      <c r="C764" cm="1">
        <f t="array" ref="C764">RR_Eq('Rachford-Rice-Solution'!$B$29,'Rachford-Rice-Solution'!$C$29,'Rachford-Rice-Solution'!$D$29,'Rachford-Rice-Solution'!$E$29,B764)</f>
        <v>-3.0655723198365852</v>
      </c>
    </row>
    <row r="765" spans="1:3" x14ac:dyDescent="0.35">
      <c r="A765">
        <v>763</v>
      </c>
      <c r="B765">
        <f>B764+('Rachford-Rice-Solution'!$M$29-'Rachford-Rice-Solution'!$L$29)/999</f>
        <v>0.96446340924148544</v>
      </c>
      <c r="C765" cm="1">
        <f t="array" ref="C765">RR_Eq('Rachford-Rice-Solution'!$B$29,'Rachford-Rice-Solution'!$C$29,'Rachford-Rice-Solution'!$D$29,'Rachford-Rice-Solution'!$E$29,B765)</f>
        <v>-3.0788358353713248</v>
      </c>
    </row>
    <row r="766" spans="1:3" x14ac:dyDescent="0.35">
      <c r="A766">
        <v>764</v>
      </c>
      <c r="B766">
        <f>B765+('Rachford-Rice-Solution'!$M$29-'Rachford-Rice-Solution'!$L$29)/999</f>
        <v>0.96573091439248271</v>
      </c>
      <c r="C766" cm="1">
        <f t="array" ref="C766">RR_Eq('Rachford-Rice-Solution'!$B$29,'Rachford-Rice-Solution'!$C$29,'Rachford-Rice-Solution'!$D$29,'Rachford-Rice-Solution'!$E$29,B766)</f>
        <v>-3.0922108885639616</v>
      </c>
    </row>
    <row r="767" spans="1:3" x14ac:dyDescent="0.35">
      <c r="A767">
        <v>765</v>
      </c>
      <c r="B767">
        <f>B766+('Rachford-Rice-Solution'!$M$29-'Rachford-Rice-Solution'!$L$29)/999</f>
        <v>0.96699841954347998</v>
      </c>
      <c r="C767" cm="1">
        <f t="array" ref="C767">RR_Eq('Rachford-Rice-Solution'!$B$29,'Rachford-Rice-Solution'!$C$29,'Rachford-Rice-Solution'!$D$29,'Rachford-Rice-Solution'!$E$29,B767)</f>
        <v>-3.1056989067106042</v>
      </c>
    </row>
    <row r="768" spans="1:3" x14ac:dyDescent="0.35">
      <c r="A768">
        <v>766</v>
      </c>
      <c r="B768">
        <f>B767+('Rachford-Rice-Solution'!$M$29-'Rachford-Rice-Solution'!$L$29)/999</f>
        <v>0.96826592469447725</v>
      </c>
      <c r="C768" cm="1">
        <f t="array" ref="C768">RR_Eq('Rachford-Rice-Solution'!$B$29,'Rachford-Rice-Solution'!$C$29,'Rachford-Rice-Solution'!$D$29,'Rachford-Rice-Solution'!$E$29,B768)</f>
        <v>-3.1193013414876734</v>
      </c>
    </row>
    <row r="769" spans="1:3" x14ac:dyDescent="0.35">
      <c r="A769">
        <v>767</v>
      </c>
      <c r="B769">
        <f>B768+('Rachford-Rice-Solution'!$M$29-'Rachford-Rice-Solution'!$L$29)/999</f>
        <v>0.96953342984547453</v>
      </c>
      <c r="C769" cm="1">
        <f t="array" ref="C769">RR_Eq('Rachford-Rice-Solution'!$B$29,'Rachford-Rice-Solution'!$C$29,'Rachford-Rice-Solution'!$D$29,'Rachford-Rice-Solution'!$E$29,B769)</f>
        <v>-3.1330196694752002</v>
      </c>
    </row>
    <row r="770" spans="1:3" x14ac:dyDescent="0.35">
      <c r="A770">
        <v>768</v>
      </c>
      <c r="B770">
        <f>B769+('Rachford-Rice-Solution'!$M$29-'Rachford-Rice-Solution'!$L$29)/999</f>
        <v>0.9708009349964718</v>
      </c>
      <c r="C770" cm="1">
        <f t="array" ref="C770">RR_Eq('Rachford-Rice-Solution'!$B$29,'Rachford-Rice-Solution'!$C$29,'Rachford-Rice-Solution'!$D$29,'Rachford-Rice-Solution'!$E$29,B770)</f>
        <v>-3.146855392693662</v>
      </c>
    </row>
    <row r="771" spans="1:3" x14ac:dyDescent="0.35">
      <c r="A771">
        <v>769</v>
      </c>
      <c r="B771">
        <f>B770+('Rachford-Rice-Solution'!$M$29-'Rachford-Rice-Solution'!$L$29)/999</f>
        <v>0.97206844014746907</v>
      </c>
      <c r="C771" cm="1">
        <f t="array" ref="C771">RR_Eq('Rachford-Rice-Solution'!$B$29,'Rachford-Rice-Solution'!$C$29,'Rachford-Rice-Solution'!$D$29,'Rachford-Rice-Solution'!$E$29,B771)</f>
        <v>-3.1608100391547587</v>
      </c>
    </row>
    <row r="772" spans="1:3" x14ac:dyDescent="0.35">
      <c r="A772">
        <v>770</v>
      </c>
      <c r="B772">
        <f>B771+('Rachford-Rice-Solution'!$M$29-'Rachford-Rice-Solution'!$L$29)/999</f>
        <v>0.97333594529846634</v>
      </c>
      <c r="C772" cm="1">
        <f t="array" ref="C772">RR_Eq('Rachford-Rice-Solution'!$B$29,'Rachford-Rice-Solution'!$C$29,'Rachford-Rice-Solution'!$D$29,'Rachford-Rice-Solution'!$E$29,B772)</f>
        <v>-3.1748851634265498</v>
      </c>
    </row>
    <row r="773" spans="1:3" x14ac:dyDescent="0.35">
      <c r="A773">
        <v>771</v>
      </c>
      <c r="B773">
        <f>B772+('Rachford-Rice-Solution'!$M$29-'Rachford-Rice-Solution'!$L$29)/999</f>
        <v>0.97460345044946362</v>
      </c>
      <c r="C773" cm="1">
        <f t="array" ref="C773">RR_Eq('Rachford-Rice-Solution'!$B$29,'Rachford-Rice-Solution'!$C$29,'Rachford-Rice-Solution'!$D$29,'Rachford-Rice-Solution'!$E$29,B773)</f>
        <v>-3.1890823472134087</v>
      </c>
    </row>
    <row r="774" spans="1:3" x14ac:dyDescent="0.35">
      <c r="A774">
        <v>772</v>
      </c>
      <c r="B774">
        <f>B773+('Rachford-Rice-Solution'!$M$29-'Rachford-Rice-Solution'!$L$29)/999</f>
        <v>0.97587095560046089</v>
      </c>
      <c r="C774" cm="1">
        <f t="array" ref="C774">RR_Eq('Rachford-Rice-Solution'!$B$29,'Rachford-Rice-Solution'!$C$29,'Rachford-Rice-Solution'!$D$29,'Rachford-Rice-Solution'!$E$29,B774)</f>
        <v>-3.2034031999512296</v>
      </c>
    </row>
    <row r="775" spans="1:3" x14ac:dyDescent="0.35">
      <c r="A775">
        <v>773</v>
      </c>
      <c r="B775">
        <f>B774+('Rachford-Rice-Solution'!$M$29-'Rachford-Rice-Solution'!$L$29)/999</f>
        <v>0.97713846075145816</v>
      </c>
      <c r="C775" cm="1">
        <f t="array" ref="C775">RR_Eq('Rachford-Rice-Solution'!$B$29,'Rachford-Rice-Solution'!$C$29,'Rachford-Rice-Solution'!$D$29,'Rachford-Rice-Solution'!$E$29,B775)</f>
        <v>-3.2178493594183721</v>
      </c>
    </row>
    <row r="776" spans="1:3" x14ac:dyDescent="0.35">
      <c r="A776">
        <v>774</v>
      </c>
      <c r="B776">
        <f>B775+('Rachford-Rice-Solution'!$M$29-'Rachford-Rice-Solution'!$L$29)/999</f>
        <v>0.97840596590245543</v>
      </c>
      <c r="C776" cm="1">
        <f t="array" ref="C776">RR_Eq('Rachford-Rice-Solution'!$B$29,'Rachford-Rice-Solution'!$C$29,'Rachford-Rice-Solution'!$D$29,'Rachford-Rice-Solution'!$E$29,B776)</f>
        <v>-3.2324224923628169</v>
      </c>
    </row>
    <row r="777" spans="1:3" x14ac:dyDescent="0.35">
      <c r="A777">
        <v>775</v>
      </c>
      <c r="B777">
        <f>B776+('Rachford-Rice-Solution'!$M$29-'Rachford-Rice-Solution'!$L$29)/999</f>
        <v>0.9796734710534527</v>
      </c>
      <c r="C777" cm="1">
        <f t="array" ref="C777">RR_Eq('Rachford-Rice-Solution'!$B$29,'Rachford-Rice-Solution'!$C$29,'Rachford-Rice-Solution'!$D$29,'Rachford-Rice-Solution'!$E$29,B777)</f>
        <v>-3.2471242951460568</v>
      </c>
    </row>
    <row r="778" spans="1:3" x14ac:dyDescent="0.35">
      <c r="A778">
        <v>776</v>
      </c>
      <c r="B778">
        <f>B777+('Rachford-Rice-Solution'!$M$29-'Rachford-Rice-Solution'!$L$29)/999</f>
        <v>0.98094097620444998</v>
      </c>
      <c r="C778" cm="1">
        <f t="array" ref="C778">RR_Eq('Rachford-Rice-Solution'!$B$29,'Rachford-Rice-Solution'!$C$29,'Rachford-Rice-Solution'!$D$29,'Rachford-Rice-Solution'!$E$29,B778)</f>
        <v>-3.2619564944042181</v>
      </c>
    </row>
    <row r="779" spans="1:3" x14ac:dyDescent="0.35">
      <c r="A779">
        <v>777</v>
      </c>
      <c r="B779">
        <f>B778+('Rachford-Rice-Solution'!$M$29-'Rachford-Rice-Solution'!$L$29)/999</f>
        <v>0.98220848135544725</v>
      </c>
      <c r="C779" cm="1">
        <f t="array" ref="C779">RR_Eq('Rachford-Rice-Solution'!$B$29,'Rachford-Rice-Solution'!$C$29,'Rachford-Rice-Solution'!$D$29,'Rachford-Rice-Solution'!$E$29,B779)</f>
        <v>-3.2769208477269816</v>
      </c>
    </row>
    <row r="780" spans="1:3" x14ac:dyDescent="0.35">
      <c r="A780">
        <v>778</v>
      </c>
      <c r="B780">
        <f>B779+('Rachford-Rice-Solution'!$M$29-'Rachford-Rice-Solution'!$L$29)/999</f>
        <v>0.98347598650644452</v>
      </c>
      <c r="C780" cm="1">
        <f t="array" ref="C780">RR_Eq('Rachford-Rice-Solution'!$B$29,'Rachford-Rice-Solution'!$C$29,'Rachford-Rice-Solution'!$D$29,'Rachford-Rice-Solution'!$E$29,B780)</f>
        <v>-3.2920191443548483</v>
      </c>
    </row>
    <row r="781" spans="1:3" x14ac:dyDescent="0.35">
      <c r="A781">
        <v>779</v>
      </c>
      <c r="B781">
        <f>B780+('Rachford-Rice-Solution'!$M$29-'Rachford-Rice-Solution'!$L$29)/999</f>
        <v>0.98474349165744179</v>
      </c>
      <c r="C781" cm="1">
        <f t="array" ref="C781">RR_Eq('Rachford-Rice-Solution'!$B$29,'Rachford-Rice-Solution'!$C$29,'Rachford-Rice-Solution'!$D$29,'Rachford-Rice-Solution'!$E$29,B781)</f>
        <v>-3.3072532058953321</v>
      </c>
    </row>
    <row r="782" spans="1:3" x14ac:dyDescent="0.35">
      <c r="A782">
        <v>780</v>
      </c>
      <c r="B782">
        <f>B781+('Rachford-Rice-Solution'!$M$29-'Rachford-Rice-Solution'!$L$29)/999</f>
        <v>0.98601099680843907</v>
      </c>
      <c r="C782" cm="1">
        <f t="array" ref="C782">RR_Eq('Rachford-Rice-Solution'!$B$29,'Rachford-Rice-Solution'!$C$29,'Rachford-Rice-Solution'!$D$29,'Rachford-Rice-Solution'!$E$29,B782)</f>
        <v>-3.3226248870586872</v>
      </c>
    </row>
    <row r="783" spans="1:3" x14ac:dyDescent="0.35">
      <c r="A783">
        <v>781</v>
      </c>
      <c r="B783">
        <f>B782+('Rachford-Rice-Solution'!$M$29-'Rachford-Rice-Solution'!$L$29)/999</f>
        <v>0.98727850195943634</v>
      </c>
      <c r="C783" cm="1">
        <f t="array" ref="C783">RR_Eq('Rachford-Rice-Solution'!$B$29,'Rachford-Rice-Solution'!$C$29,'Rachford-Rice-Solution'!$D$29,'Rachford-Rice-Solution'!$E$29,B783)</f>
        <v>-3.338136076413794</v>
      </c>
    </row>
    <row r="784" spans="1:3" x14ac:dyDescent="0.35">
      <c r="A784">
        <v>782</v>
      </c>
      <c r="B784">
        <f>B783+('Rachford-Rice-Solution'!$M$29-'Rachford-Rice-Solution'!$L$29)/999</f>
        <v>0.98854600711043361</v>
      </c>
      <c r="C784" cm="1">
        <f t="array" ref="C784">RR_Eq('Rachford-Rice-Solution'!$B$29,'Rachford-Rice-Solution'!$C$29,'Rachford-Rice-Solution'!$D$29,'Rachford-Rice-Solution'!$E$29,B784)</f>
        <v>-3.3537886971648363</v>
      </c>
    </row>
    <row r="785" spans="1:3" x14ac:dyDescent="0.35">
      <c r="A785">
        <v>783</v>
      </c>
      <c r="B785">
        <f>B784+('Rachford-Rice-Solution'!$M$29-'Rachford-Rice-Solution'!$L$29)/999</f>
        <v>0.98981351226143088</v>
      </c>
      <c r="C785" cm="1">
        <f t="array" ref="C785">RR_Eq('Rachford-Rice-Solution'!$B$29,'Rachford-Rice-Solution'!$C$29,'Rachford-Rice-Solution'!$D$29,'Rachford-Rice-Solution'!$E$29,B785)</f>
        <v>-3.369584707949469</v>
      </c>
    </row>
    <row r="786" spans="1:3" x14ac:dyDescent="0.35">
      <c r="A786">
        <v>784</v>
      </c>
      <c r="B786">
        <f>B785+('Rachford-Rice-Solution'!$M$29-'Rachford-Rice-Solution'!$L$29)/999</f>
        <v>0.99108101741242816</v>
      </c>
      <c r="C786" cm="1">
        <f t="array" ref="C786">RR_Eq('Rachford-Rice-Solution'!$B$29,'Rachford-Rice-Solution'!$C$29,'Rachford-Rice-Solution'!$D$29,'Rachford-Rice-Solution'!$E$29,B786)</f>
        <v>-3.385526103659144</v>
      </c>
    </row>
    <row r="787" spans="1:3" x14ac:dyDescent="0.35">
      <c r="A787">
        <v>785</v>
      </c>
      <c r="B787">
        <f>B786+('Rachford-Rice-Solution'!$M$29-'Rachford-Rice-Solution'!$L$29)/999</f>
        <v>0.99234852256342543</v>
      </c>
      <c r="C787" cm="1">
        <f t="array" ref="C787">RR_Eq('Rachford-Rice-Solution'!$B$29,'Rachford-Rice-Solution'!$C$29,'Rachford-Rice-Solution'!$D$29,'Rachford-Rice-Solution'!$E$29,B787)</f>
        <v>-3.401614916282333</v>
      </c>
    </row>
    <row r="788" spans="1:3" x14ac:dyDescent="0.35">
      <c r="A788">
        <v>786</v>
      </c>
      <c r="B788">
        <f>B787+('Rachford-Rice-Solution'!$M$29-'Rachford-Rice-Solution'!$L$29)/999</f>
        <v>0.9936160277144227</v>
      </c>
      <c r="C788" cm="1">
        <f t="array" ref="C788">RR_Eq('Rachford-Rice-Solution'!$B$29,'Rachford-Rice-Solution'!$C$29,'Rachford-Rice-Solution'!$D$29,'Rachford-Rice-Solution'!$E$29,B788)</f>
        <v>-3.4178532157713928</v>
      </c>
    </row>
    <row r="789" spans="1:3" x14ac:dyDescent="0.35">
      <c r="A789">
        <v>787</v>
      </c>
      <c r="B789">
        <f>B788+('Rachford-Rice-Solution'!$M$29-'Rachford-Rice-Solution'!$L$29)/999</f>
        <v>0.99488353286541997</v>
      </c>
      <c r="C789" cm="1">
        <f t="array" ref="C789">RR_Eq('Rachford-Rice-Solution'!$B$29,'Rachford-Rice-Solution'!$C$29,'Rachford-Rice-Solution'!$D$29,'Rachford-Rice-Solution'!$E$29,B789)</f>
        <v>-3.4342431109338469</v>
      </c>
    </row>
    <row r="790" spans="1:3" x14ac:dyDescent="0.35">
      <c r="A790">
        <v>788</v>
      </c>
      <c r="B790">
        <f>B789+('Rachford-Rice-Solution'!$M$29-'Rachford-Rice-Solution'!$L$29)/999</f>
        <v>0.99615103801641725</v>
      </c>
      <c r="C790" cm="1">
        <f t="array" ref="C790">RR_Eq('Rachford-Rice-Solution'!$B$29,'Rachford-Rice-Solution'!$C$29,'Rachford-Rice-Solution'!$D$29,'Rachford-Rice-Solution'!$E$29,B790)</f>
        <v>-3.4507867503488838</v>
      </c>
    </row>
    <row r="791" spans="1:3" x14ac:dyDescent="0.35">
      <c r="A791">
        <v>789</v>
      </c>
      <c r="B791">
        <f>B790+('Rachford-Rice-Solution'!$M$29-'Rachford-Rice-Solution'!$L$29)/999</f>
        <v>0.99741854316741452</v>
      </c>
      <c r="C791" cm="1">
        <f t="array" ref="C791">RR_Eq('Rachford-Rice-Solution'!$B$29,'Rachford-Rice-Solution'!$C$29,'Rachford-Rice-Solution'!$D$29,'Rachford-Rice-Solution'!$E$29,B791)</f>
        <v>-3.4674863233099318</v>
      </c>
    </row>
    <row r="792" spans="1:3" x14ac:dyDescent="0.35">
      <c r="A792">
        <v>790</v>
      </c>
      <c r="B792">
        <f>B791+('Rachford-Rice-Solution'!$M$29-'Rachford-Rice-Solution'!$L$29)/999</f>
        <v>0.99868604831841179</v>
      </c>
      <c r="C792" cm="1">
        <f t="array" ref="C792">RR_Eq('Rachford-Rice-Solution'!$B$29,'Rachford-Rice-Solution'!$C$29,'Rachford-Rice-Solution'!$D$29,'Rachford-Rice-Solution'!$E$29,B792)</f>
        <v>-3.4843440607941467</v>
      </c>
    </row>
    <row r="793" spans="1:3" x14ac:dyDescent="0.35">
      <c r="A793">
        <v>791</v>
      </c>
      <c r="B793">
        <f>B792+('Rachford-Rice-Solution'!$M$29-'Rachford-Rice-Solution'!$L$29)/999</f>
        <v>0.99995355346940906</v>
      </c>
      <c r="C793" cm="1">
        <f t="array" ref="C793">RR_Eq('Rachford-Rice-Solution'!$B$29,'Rachford-Rice-Solution'!$C$29,'Rachford-Rice-Solution'!$D$29,'Rachford-Rice-Solution'!$E$29,B793)</f>
        <v>-3.5013622364597463</v>
      </c>
    </row>
    <row r="794" spans="1:3" x14ac:dyDescent="0.35">
      <c r="A794">
        <v>792</v>
      </c>
      <c r="B794">
        <f>B793+('Rachford-Rice-Solution'!$M$29-'Rachford-Rice-Solution'!$L$29)/999</f>
        <v>1.0012210586204062</v>
      </c>
      <c r="C794" cm="1">
        <f t="array" ref="C794">RR_Eq('Rachford-Rice-Solution'!$B$29,'Rachford-Rice-Solution'!$C$29,'Rachford-Rice-Solution'!$D$29,'Rachford-Rice-Solution'!$E$29,B794)</f>
        <v>-3.5185431676720973</v>
      </c>
    </row>
    <row r="795" spans="1:3" x14ac:dyDescent="0.35">
      <c r="A795">
        <v>793</v>
      </c>
      <c r="B795">
        <f>B794+('Rachford-Rice-Solution'!$M$29-'Rachford-Rice-Solution'!$L$29)/999</f>
        <v>1.0024885637714034</v>
      </c>
      <c r="C795" cm="1">
        <f t="array" ref="C795">RR_Eq('Rachford-Rice-Solution'!$B$29,'Rachford-Rice-Solution'!$C$29,'Rachford-Rice-Solution'!$D$29,'Rachford-Rice-Solution'!$E$29,B795)</f>
        <v>-3.5358892165595628</v>
      </c>
    </row>
    <row r="796" spans="1:3" x14ac:dyDescent="0.35">
      <c r="A796">
        <v>794</v>
      </c>
      <c r="B796">
        <f>B795+('Rachford-Rice-Solution'!$M$29-'Rachford-Rice-Solution'!$L$29)/999</f>
        <v>1.0037560689224005</v>
      </c>
      <c r="C796" cm="1">
        <f t="array" ref="C796">RR_Eq('Rachford-Rice-Solution'!$B$29,'Rachford-Rice-Solution'!$C$29,'Rachford-Rice-Solution'!$D$29,'Rachford-Rice-Solution'!$E$29,B796)</f>
        <v>-3.5534027911000821</v>
      </c>
    </row>
    <row r="797" spans="1:3" x14ac:dyDescent="0.35">
      <c r="A797">
        <v>795</v>
      </c>
      <c r="B797">
        <f>B796+('Rachford-Rice-Solution'!$M$29-'Rachford-Rice-Solution'!$L$29)/999</f>
        <v>1.0050235740733977</v>
      </c>
      <c r="C797" cm="1">
        <f t="array" ref="C797">RR_Eq('Rachford-Rice-Solution'!$B$29,'Rachford-Rice-Solution'!$C$29,'Rachford-Rice-Solution'!$D$29,'Rachford-Rice-Solution'!$E$29,B797)</f>
        <v>-3.5710863462395608</v>
      </c>
    </row>
    <row r="798" spans="1:3" x14ac:dyDescent="0.35">
      <c r="A798">
        <v>796</v>
      </c>
      <c r="B798">
        <f>B797+('Rachford-Rice-Solution'!$M$29-'Rachford-Rice-Solution'!$L$29)/999</f>
        <v>1.0062910792243949</v>
      </c>
      <c r="C798" cm="1">
        <f t="array" ref="C798">RR_Eq('Rachford-Rice-Solution'!$B$29,'Rachford-Rice-Solution'!$C$29,'Rachford-Rice-Solution'!$D$29,'Rachford-Rice-Solution'!$E$29,B798)</f>
        <v>-3.588942385043159</v>
      </c>
    </row>
    <row r="799" spans="1:3" x14ac:dyDescent="0.35">
      <c r="A799">
        <v>797</v>
      </c>
      <c r="B799">
        <f>B798+('Rachford-Rice-Solution'!$M$29-'Rachford-Rice-Solution'!$L$29)/999</f>
        <v>1.007558584375392</v>
      </c>
      <c r="C799" cm="1">
        <f t="array" ref="C799">RR_Eq('Rachford-Rice-Solution'!$B$29,'Rachford-Rice-Solution'!$C$29,'Rachford-Rice-Solution'!$D$29,'Rachford-Rice-Solution'!$E$29,B799)</f>
        <v>-3.6069734598805949</v>
      </c>
    </row>
    <row r="800" spans="1:3" x14ac:dyDescent="0.35">
      <c r="A800">
        <v>798</v>
      </c>
      <c r="B800">
        <f>B799+('Rachford-Rice-Solution'!$M$29-'Rachford-Rice-Solution'!$L$29)/999</f>
        <v>1.0088260895263892</v>
      </c>
      <c r="C800" cm="1">
        <f t="array" ref="C800">RR_Eq('Rachford-Rice-Solution'!$B$29,'Rachford-Rice-Solution'!$C$29,'Rachford-Rice-Solution'!$D$29,'Rachford-Rice-Solution'!$E$29,B800)</f>
        <v>-3.6251821736466687</v>
      </c>
    </row>
    <row r="801" spans="1:3" x14ac:dyDescent="0.35">
      <c r="A801">
        <v>799</v>
      </c>
      <c r="B801">
        <f>B800+('Rachford-Rice-Solution'!$M$29-'Rachford-Rice-Solution'!$L$29)/999</f>
        <v>1.0100935946773864</v>
      </c>
      <c r="C801" cm="1">
        <f t="array" ref="C801">RR_Eq('Rachford-Rice-Solution'!$B$29,'Rachford-Rice-Solution'!$C$29,'Rachford-Rice-Solution'!$D$29,'Rachford-Rice-Solution'!$E$29,B801)</f>
        <v>-3.6435711810182041</v>
      </c>
    </row>
    <row r="802" spans="1:3" x14ac:dyDescent="0.35">
      <c r="A802">
        <v>800</v>
      </c>
      <c r="B802">
        <f>B801+('Rachford-Rice-Solution'!$M$29-'Rachford-Rice-Solution'!$L$29)/999</f>
        <v>1.0113610998283835</v>
      </c>
      <c r="C802" cm="1">
        <f t="array" ref="C802">RR_Eq('Rachford-Rice-Solution'!$B$29,'Rachford-Rice-Solution'!$C$29,'Rachford-Rice-Solution'!$D$29,'Rachford-Rice-Solution'!$E$29,B802)</f>
        <v>-3.6621431897487113</v>
      </c>
    </row>
    <row r="803" spans="1:3" x14ac:dyDescent="0.35">
      <c r="A803">
        <v>801</v>
      </c>
      <c r="B803">
        <f>B802+('Rachford-Rice-Solution'!$M$29-'Rachford-Rice-Solution'!$L$29)/999</f>
        <v>1.0126286049793807</v>
      </c>
      <c r="C803" cm="1">
        <f t="array" ref="C803">RR_Eq('Rachford-Rice-Solution'!$B$29,'Rachford-Rice-Solution'!$C$29,'Rachford-Rice-Solution'!$D$29,'Rachford-Rice-Solution'!$E$29,B803)</f>
        <v>-3.6809009620020743</v>
      </c>
    </row>
    <row r="804" spans="1:3" x14ac:dyDescent="0.35">
      <c r="A804">
        <v>802</v>
      </c>
      <c r="B804">
        <f>B803+('Rachford-Rice-Solution'!$M$29-'Rachford-Rice-Solution'!$L$29)/999</f>
        <v>1.0138961101303778</v>
      </c>
      <c r="C804" cm="1">
        <f t="array" ref="C804">RR_Eq('Rachford-Rice-Solution'!$B$29,'Rachford-Rice-Solution'!$C$29,'Rachford-Rice-Solution'!$D$29,'Rachford-Rice-Solution'!$E$29,B804)</f>
        <v>-3.6998473157266569</v>
      </c>
    </row>
    <row r="805" spans="1:3" x14ac:dyDescent="0.35">
      <c r="A805">
        <v>803</v>
      </c>
      <c r="B805">
        <f>B804+('Rachford-Rice-Solution'!$M$29-'Rachford-Rice-Solution'!$L$29)/999</f>
        <v>1.015163615281375</v>
      </c>
      <c r="C805" cm="1">
        <f t="array" ref="C805">RR_Eq('Rachford-Rice-Solution'!$B$29,'Rachford-Rice-Solution'!$C$29,'Rachford-Rice-Solution'!$D$29,'Rachford-Rice-Solution'!$E$29,B805)</f>
        <v>-3.7189851260712592</v>
      </c>
    </row>
    <row r="806" spans="1:3" x14ac:dyDescent="0.35">
      <c r="A806">
        <v>804</v>
      </c>
      <c r="B806">
        <f>B805+('Rachford-Rice-Solution'!$M$29-'Rachford-Rice-Solution'!$L$29)/999</f>
        <v>1.0164311204323722</v>
      </c>
      <c r="C806" cm="1">
        <f t="array" ref="C806">RR_Eq('Rachford-Rice-Solution'!$B$29,'Rachford-Rice-Solution'!$C$29,'Rachford-Rice-Solution'!$D$29,'Rachford-Rice-Solution'!$E$29,B806)</f>
        <v>-3.7383173268444145</v>
      </c>
    </row>
    <row r="807" spans="1:3" x14ac:dyDescent="0.35">
      <c r="A807">
        <v>805</v>
      </c>
      <c r="B807">
        <f>B806+('Rachford-Rice-Solution'!$M$29-'Rachford-Rice-Solution'!$L$29)/999</f>
        <v>1.0176986255833693</v>
      </c>
      <c r="C807" cm="1">
        <f t="array" ref="C807">RR_Eq('Rachford-Rice-Solution'!$B$29,'Rachford-Rice-Solution'!$C$29,'Rachford-Rice-Solution'!$D$29,'Rachford-Rice-Solution'!$E$29,B807)</f>
        <v>-3.7578469120185916</v>
      </c>
    </row>
    <row r="808" spans="1:3" x14ac:dyDescent="0.35">
      <c r="A808">
        <v>806</v>
      </c>
      <c r="B808">
        <f>B807+('Rachford-Rice-Solution'!$M$29-'Rachford-Rice-Solution'!$L$29)/999</f>
        <v>1.0189661307343665</v>
      </c>
      <c r="C808" cm="1">
        <f t="array" ref="C808">RR_Eq('Rachford-Rice-Solution'!$B$29,'Rachford-Rice-Solution'!$C$29,'Rachford-Rice-Solution'!$D$29,'Rachford-Rice-Solution'!$E$29,B808)</f>
        <v>-3.7775769372809176</v>
      </c>
    </row>
    <row r="809" spans="1:3" x14ac:dyDescent="0.35">
      <c r="A809">
        <v>807</v>
      </c>
      <c r="B809">
        <f>B808+('Rachford-Rice-Solution'!$M$29-'Rachford-Rice-Solution'!$L$29)/999</f>
        <v>1.0202336358853636</v>
      </c>
      <c r="C809" cm="1">
        <f t="array" ref="C809">RR_Eq('Rachford-Rice-Solution'!$B$29,'Rachford-Rice-Solution'!$C$29,'Rachford-Rice-Solution'!$D$29,'Rachford-Rice-Solution'!$E$29,B809)</f>
        <v>-3.7975105216321059</v>
      </c>
    </row>
    <row r="810" spans="1:3" x14ac:dyDescent="0.35">
      <c r="A810">
        <v>808</v>
      </c>
      <c r="B810">
        <f>B809+('Rachford-Rice-Solution'!$M$29-'Rachford-Rice-Solution'!$L$29)/999</f>
        <v>1.0215011410363608</v>
      </c>
      <c r="C810" cm="1">
        <f t="array" ref="C810">RR_Eq('Rachford-Rice-Solution'!$B$29,'Rachford-Rice-Solution'!$C$29,'Rachford-Rice-Solution'!$D$29,'Rachford-Rice-Solution'!$E$29,B810)</f>
        <v>-3.81765084903535</v>
      </c>
    </row>
    <row r="811" spans="1:3" x14ac:dyDescent="0.35">
      <c r="A811">
        <v>809</v>
      </c>
      <c r="B811">
        <f>B810+('Rachford-Rice-Solution'!$M$29-'Rachford-Rice-Solution'!$L$29)/999</f>
        <v>1.022768646187358</v>
      </c>
      <c r="C811" cm="1">
        <f t="array" ref="C811">RR_Eq('Rachford-Rice-Solution'!$B$29,'Rachford-Rice-Solution'!$C$29,'Rachford-Rice-Solution'!$D$29,'Rachford-Rice-Solution'!$E$29,B811)</f>
        <v>-3.8380011701170194</v>
      </c>
    </row>
    <row r="812" spans="1:3" x14ac:dyDescent="0.35">
      <c r="A812">
        <v>810</v>
      </c>
      <c r="B812">
        <f>B811+('Rachford-Rice-Solution'!$M$29-'Rachford-Rice-Solution'!$L$29)/999</f>
        <v>1.0240361513383551</v>
      </c>
      <c r="C812" cm="1">
        <f t="array" ref="C812">RR_Eq('Rachford-Rice-Solution'!$B$29,'Rachford-Rice-Solution'!$C$29,'Rachford-Rice-Solution'!$D$29,'Rachford-Rice-Solution'!$E$29,B812)</f>
        <v>-3.8585648039210558</v>
      </c>
    </row>
    <row r="813" spans="1:3" x14ac:dyDescent="0.35">
      <c r="A813">
        <v>811</v>
      </c>
      <c r="B813">
        <f>B812+('Rachford-Rice-Solution'!$M$29-'Rachford-Rice-Solution'!$L$29)/999</f>
        <v>1.0253036564893523</v>
      </c>
      <c r="C813" cm="1">
        <f t="array" ref="C813">RR_Eq('Rachford-Rice-Solution'!$B$29,'Rachford-Rice-Solution'!$C$29,'Rachford-Rice-Solution'!$D$29,'Rachford-Rice-Solution'!$E$29,B813)</f>
        <v>-3.8793451397190672</v>
      </c>
    </row>
    <row r="814" spans="1:3" x14ac:dyDescent="0.35">
      <c r="A814">
        <v>812</v>
      </c>
      <c r="B814">
        <f>B813+('Rachford-Rice-Solution'!$M$29-'Rachford-Rice-Solution'!$L$29)/999</f>
        <v>1.0265711616403494</v>
      </c>
      <c r="C814" cm="1">
        <f t="array" ref="C814">RR_Eq('Rachford-Rice-Solution'!$B$29,'Rachford-Rice-Solution'!$C$29,'Rachford-Rice-Solution'!$D$29,'Rachford-Rice-Solution'!$E$29,B814)</f>
        <v>-3.9003456388781781</v>
      </c>
    </row>
    <row r="815" spans="1:3" x14ac:dyDescent="0.35">
      <c r="A815">
        <v>813</v>
      </c>
      <c r="B815">
        <f>B814+('Rachford-Rice-Solution'!$M$29-'Rachford-Rice-Solution'!$L$29)/999</f>
        <v>1.0278386667913466</v>
      </c>
      <c r="C815" cm="1">
        <f t="array" ref="C815">RR_Eq('Rachford-Rice-Solution'!$B$29,'Rachford-Rice-Solution'!$C$29,'Rachford-Rice-Solution'!$D$29,'Rachford-Rice-Solution'!$E$29,B815)</f>
        <v>-3.9215698367888372</v>
      </c>
    </row>
    <row r="816" spans="1:3" x14ac:dyDescent="0.35">
      <c r="A816">
        <v>814</v>
      </c>
      <c r="B816">
        <f>B815+('Rachford-Rice-Solution'!$M$29-'Rachford-Rice-Solution'!$L$29)/999</f>
        <v>1.0291061719423438</v>
      </c>
      <c r="C816" cm="1">
        <f t="array" ref="C816">RR_Eq('Rachford-Rice-Solution'!$B$29,'Rachford-Rice-Solution'!$C$29,'Rachford-Rice-Solution'!$D$29,'Rachford-Rice-Solution'!$E$29,B816)</f>
        <v>-3.9430213448547815</v>
      </c>
    </row>
    <row r="817" spans="1:3" x14ac:dyDescent="0.35">
      <c r="A817">
        <v>815</v>
      </c>
      <c r="B817">
        <f>B816+('Rachford-Rice-Solution'!$M$29-'Rachford-Rice-Solution'!$L$29)/999</f>
        <v>1.0303736770933409</v>
      </c>
      <c r="C817" cm="1">
        <f t="array" ref="C817">RR_Eq('Rachford-Rice-Solution'!$B$29,'Rachford-Rice-Solution'!$C$29,'Rachford-Rice-Solution'!$D$29,'Rachford-Rice-Solution'!$E$29,B817)</f>
        <v>-3.9647038525475562</v>
      </c>
    </row>
    <row r="818" spans="1:3" x14ac:dyDescent="0.35">
      <c r="A818">
        <v>816</v>
      </c>
      <c r="B818">
        <f>B817+('Rachford-Rice-Solution'!$M$29-'Rachford-Rice-Solution'!$L$29)/999</f>
        <v>1.0316411822443381</v>
      </c>
      <c r="C818" cm="1">
        <f t="array" ref="C818">RR_Eq('Rachford-Rice-Solution'!$B$29,'Rachford-Rice-Solution'!$C$29,'Rachford-Rice-Solution'!$D$29,'Rachford-Rice-Solution'!$E$29,B818)</f>
        <v>-3.9866211295280252</v>
      </c>
    </row>
    <row r="819" spans="1:3" x14ac:dyDescent="0.35">
      <c r="A819">
        <v>817</v>
      </c>
      <c r="B819">
        <f>B818+('Rachford-Rice-Solution'!$M$29-'Rachford-Rice-Solution'!$L$29)/999</f>
        <v>1.0329086873953353</v>
      </c>
      <c r="C819" cm="1">
        <f t="array" ref="C819">RR_Eq('Rachford-Rice-Solution'!$B$29,'Rachford-Rice-Solution'!$C$29,'Rachford-Rice-Solution'!$D$29,'Rachford-Rice-Solution'!$E$29,B819)</f>
        <v>-4.0087770278374366</v>
      </c>
    </row>
    <row r="820" spans="1:3" x14ac:dyDescent="0.35">
      <c r="A820">
        <v>818</v>
      </c>
      <c r="B820">
        <f>B819+('Rachford-Rice-Solution'!$M$29-'Rachford-Rice-Solution'!$L$29)/999</f>
        <v>1.0341761925463324</v>
      </c>
      <c r="C820" cm="1">
        <f t="array" ref="C820">RR_Eq('Rachford-Rice-Solution'!$B$29,'Rachford-Rice-Solution'!$C$29,'Rachford-Rice-Solution'!$D$29,'Rachford-Rice-Solution'!$E$29,B820)</f>
        <v>-4.031175484160725</v>
      </c>
    </row>
    <row r="821" spans="1:3" x14ac:dyDescent="0.35">
      <c r="A821">
        <v>819</v>
      </c>
      <c r="B821">
        <f>B820+('Rachford-Rice-Solution'!$M$29-'Rachford-Rice-Solution'!$L$29)/999</f>
        <v>1.0354436976973296</v>
      </c>
      <c r="C821" cm="1">
        <f t="array" ref="C821">RR_Eq('Rachford-Rice-Solution'!$B$29,'Rachford-Rice-Solution'!$C$29,'Rachford-Rice-Solution'!$D$29,'Rachford-Rice-Solution'!$E$29,B821)</f>
        <v>-4.053820522164834</v>
      </c>
    </row>
    <row r="822" spans="1:3" x14ac:dyDescent="0.35">
      <c r="A822">
        <v>820</v>
      </c>
      <c r="B822">
        <f>B821+('Rachford-Rice-Solution'!$M$29-'Rachford-Rice-Solution'!$L$29)/999</f>
        <v>1.0367112028483267</v>
      </c>
      <c r="C822" cm="1">
        <f t="array" ref="C822">RR_Eq('Rachford-Rice-Solution'!$B$29,'Rachford-Rice-Solution'!$C$29,'Rachford-Rice-Solution'!$D$29,'Rachford-Rice-Solution'!$E$29,B822)</f>
        <v>-4.0767162549149853</v>
      </c>
    </row>
    <row r="823" spans="1:3" x14ac:dyDescent="0.35">
      <c r="A823">
        <v>821</v>
      </c>
      <c r="B823">
        <f>B822+('Rachford-Rice-Solution'!$M$29-'Rachford-Rice-Solution'!$L$29)/999</f>
        <v>1.0379787079993239</v>
      </c>
      <c r="C823" cm="1">
        <f t="array" ref="C823">RR_Eq('Rachford-Rice-Solution'!$B$29,'Rachford-Rice-Solution'!$C$29,'Rachford-Rice-Solution'!$D$29,'Rachford-Rice-Solution'!$E$29,B823)</f>
        <v>-4.0998668873719391</v>
      </c>
    </row>
    <row r="824" spans="1:3" x14ac:dyDescent="0.35">
      <c r="A824">
        <v>822</v>
      </c>
      <c r="B824">
        <f>B823+('Rachford-Rice-Solution'!$M$29-'Rachford-Rice-Solution'!$L$29)/999</f>
        <v>1.0392462131503211</v>
      </c>
      <c r="C824" cm="1">
        <f t="array" ref="C824">RR_Eq('Rachford-Rice-Solution'!$B$29,'Rachford-Rice-Solution'!$C$29,'Rachford-Rice-Solution'!$D$29,'Rachford-Rice-Solution'!$E$29,B824)</f>
        <v>-4.1232767189734307</v>
      </c>
    </row>
    <row r="825" spans="1:3" x14ac:dyDescent="0.35">
      <c r="A825">
        <v>823</v>
      </c>
      <c r="B825">
        <f>B824+('Rachford-Rice-Solution'!$M$29-'Rachford-Rice-Solution'!$L$29)/999</f>
        <v>1.0405137183013182</v>
      </c>
      <c r="C825" cm="1">
        <f t="array" ref="C825">RR_Eq('Rachford-Rice-Solution'!$B$29,'Rachford-Rice-Solution'!$C$29,'Rachford-Rice-Solution'!$D$29,'Rachford-Rice-Solution'!$E$29,B825)</f>
        <v>-4.1469501463031149</v>
      </c>
    </row>
    <row r="826" spans="1:3" x14ac:dyDescent="0.35">
      <c r="A826">
        <v>824</v>
      </c>
      <c r="B826">
        <f>B825+('Rachford-Rice-Solution'!$M$29-'Rachford-Rice-Solution'!$L$29)/999</f>
        <v>1.0417812234523154</v>
      </c>
      <c r="C826" cm="1">
        <f t="array" ref="C826">RR_Eq('Rachford-Rice-Solution'!$B$29,'Rachford-Rice-Solution'!$C$29,'Rachford-Rice-Solution'!$D$29,'Rachford-Rice-Solution'!$E$29,B826)</f>
        <v>-4.1708916658504878</v>
      </c>
    </row>
    <row r="827" spans="1:3" x14ac:dyDescent="0.35">
      <c r="A827">
        <v>825</v>
      </c>
      <c r="B827">
        <f>B826+('Rachford-Rice-Solution'!$M$29-'Rachford-Rice-Solution'!$L$29)/999</f>
        <v>1.0430487286033125</v>
      </c>
      <c r="C827" cm="1">
        <f t="array" ref="C827">RR_Eq('Rachford-Rice-Solution'!$B$29,'Rachford-Rice-Solution'!$C$29,'Rachford-Rice-Solution'!$D$29,'Rachford-Rice-Solution'!$E$29,B827)</f>
        <v>-4.1951058768654477</v>
      </c>
    </row>
    <row r="828" spans="1:3" x14ac:dyDescent="0.35">
      <c r="A828">
        <v>826</v>
      </c>
      <c r="B828">
        <f>B827+('Rachford-Rice-Solution'!$M$29-'Rachford-Rice-Solution'!$L$29)/999</f>
        <v>1.0443162337543097</v>
      </c>
      <c r="C828" cm="1">
        <f t="array" ref="C828">RR_Eq('Rachford-Rice-Solution'!$B$29,'Rachford-Rice-Solution'!$C$29,'Rachford-Rice-Solution'!$D$29,'Rachford-Rice-Solution'!$E$29,B828)</f>
        <v>-4.2195974843112767</v>
      </c>
    </row>
    <row r="829" spans="1:3" x14ac:dyDescent="0.35">
      <c r="A829">
        <v>827</v>
      </c>
      <c r="B829">
        <f>B828+('Rachford-Rice-Solution'!$M$29-'Rachford-Rice-Solution'!$L$29)/999</f>
        <v>1.0455837389053069</v>
      </c>
      <c r="C829" cm="1">
        <f t="array" ref="C829">RR_Eq('Rachford-Rice-Solution'!$B$29,'Rachford-Rice-Solution'!$C$29,'Rachford-Rice-Solution'!$D$29,'Rachford-Rice-Solution'!$E$29,B829)</f>
        <v>-4.2443713019200393</v>
      </c>
    </row>
    <row r="830" spans="1:3" x14ac:dyDescent="0.35">
      <c r="A830">
        <v>828</v>
      </c>
      <c r="B830">
        <f>B829+('Rachford-Rice-Solution'!$M$29-'Rachford-Rice-Solution'!$L$29)/999</f>
        <v>1.046851244056304</v>
      </c>
      <c r="C830" cm="1">
        <f t="array" ref="C830">RR_Eq('Rachford-Rice-Solution'!$B$29,'Rachford-Rice-Solution'!$C$29,'Rachford-Rice-Solution'!$D$29,'Rachford-Rice-Solution'!$E$29,B830)</f>
        <v>-4.2694322553545732</v>
      </c>
    </row>
    <row r="831" spans="1:3" x14ac:dyDescent="0.35">
      <c r="A831">
        <v>829</v>
      </c>
      <c r="B831">
        <f>B830+('Rachford-Rice-Solution'!$M$29-'Rachford-Rice-Solution'!$L$29)/999</f>
        <v>1.0481187492073012</v>
      </c>
      <c r="C831" cm="1">
        <f t="array" ref="C831">RR_Eq('Rachford-Rice-Solution'!$B$29,'Rachford-Rice-Solution'!$C$29,'Rachford-Rice-Solution'!$D$29,'Rachford-Rice-Solution'!$E$29,B831)</f>
        <v>-4.2947853854814113</v>
      </c>
    </row>
    <row r="832" spans="1:3" x14ac:dyDescent="0.35">
      <c r="A832">
        <v>830</v>
      </c>
      <c r="B832">
        <f>B831+('Rachford-Rice-Solution'!$M$29-'Rachford-Rice-Solution'!$L$29)/999</f>
        <v>1.0493862543582984</v>
      </c>
      <c r="C832" cm="1">
        <f t="array" ref="C832">RR_Eq('Rachford-Rice-Solution'!$B$29,'Rachford-Rice-Solution'!$C$29,'Rachford-Rice-Solution'!$D$29,'Rachford-Rice-Solution'!$E$29,B832)</f>
        <v>-4.3204358517592283</v>
      </c>
    </row>
    <row r="833" spans="1:3" x14ac:dyDescent="0.35">
      <c r="A833">
        <v>831</v>
      </c>
      <c r="B833">
        <f>B832+('Rachford-Rice-Solution'!$M$29-'Rachford-Rice-Solution'!$L$29)/999</f>
        <v>1.0506537595092955</v>
      </c>
      <c r="C833" cm="1">
        <f t="array" ref="C833">RR_Eq('Rachford-Rice-Solution'!$B$29,'Rachford-Rice-Solution'!$C$29,'Rachford-Rice-Solution'!$D$29,'Rachford-Rice-Solution'!$E$29,B833)</f>
        <v>-4.3463889357475871</v>
      </c>
    </row>
    <row r="834" spans="1:3" x14ac:dyDescent="0.35">
      <c r="A834">
        <v>832</v>
      </c>
      <c r="B834">
        <f>B833+('Rachford-Rice-Solution'!$M$29-'Rachford-Rice-Solution'!$L$29)/999</f>
        <v>1.0519212646602927</v>
      </c>
      <c r="C834" cm="1">
        <f t="array" ref="C834">RR_Eq('Rachford-Rice-Solution'!$B$29,'Rachford-Rice-Solution'!$C$29,'Rachford-Rice-Solution'!$D$29,'Rachford-Rice-Solution'!$E$29,B834)</f>
        <v>-4.3726500447409906</v>
      </c>
    </row>
    <row r="835" spans="1:3" x14ac:dyDescent="0.35">
      <c r="A835">
        <v>833</v>
      </c>
      <c r="B835">
        <f>B834+('Rachford-Rice-Solution'!$M$29-'Rachford-Rice-Solution'!$L$29)/999</f>
        <v>1.0531887698112898</v>
      </c>
      <c r="C835" cm="1">
        <f t="array" ref="C835">RR_Eq('Rachford-Rice-Solution'!$B$29,'Rachford-Rice-Solution'!$C$29,'Rachford-Rice-Solution'!$D$29,'Rachford-Rice-Solution'!$E$29,B835)</f>
        <v>-4.3992247155334976</v>
      </c>
    </row>
    <row r="836" spans="1:3" x14ac:dyDescent="0.35">
      <c r="A836">
        <v>834</v>
      </c>
      <c r="B836">
        <f>B835+('Rachford-Rice-Solution'!$M$29-'Rachford-Rice-Solution'!$L$29)/999</f>
        <v>1.054456274962287</v>
      </c>
      <c r="C836" cm="1">
        <f t="array" ref="C836">RR_Eq('Rachford-Rice-Solution'!$B$29,'Rachford-Rice-Solution'!$C$29,'Rachford-Rice-Solution'!$D$29,'Rachford-Rice-Solution'!$E$29,B836)</f>
        <v>-4.4261186183194203</v>
      </c>
    </row>
    <row r="837" spans="1:3" x14ac:dyDescent="0.35">
      <c r="A837">
        <v>835</v>
      </c>
      <c r="B837">
        <f>B836+('Rachford-Rice-Solution'!$M$29-'Rachford-Rice-Solution'!$L$29)/999</f>
        <v>1.0557237801132842</v>
      </c>
      <c r="C837" cm="1">
        <f t="array" ref="C837">RR_Eq('Rachford-Rice-Solution'!$B$29,'Rachford-Rice-Solution'!$C$29,'Rachford-Rice-Solution'!$D$29,'Rachford-Rice-Solution'!$E$29,B837)</f>
        <v>-4.4533375607358394</v>
      </c>
    </row>
    <row r="838" spans="1:3" x14ac:dyDescent="0.35">
      <c r="A838">
        <v>836</v>
      </c>
      <c r="B838">
        <f>B837+('Rachford-Rice-Solution'!$M$29-'Rachford-Rice-Solution'!$L$29)/999</f>
        <v>1.0569912852642813</v>
      </c>
      <c r="C838" cm="1">
        <f t="array" ref="C838">RR_Eq('Rachford-Rice-Solution'!$B$29,'Rachford-Rice-Solution'!$C$29,'Rachford-Rice-Solution'!$D$29,'Rachford-Rice-Solution'!$E$29,B838)</f>
        <v>-4.4808874920530517</v>
      </c>
    </row>
    <row r="839" spans="1:3" x14ac:dyDescent="0.35">
      <c r="A839">
        <v>837</v>
      </c>
      <c r="B839">
        <f>B838+('Rachford-Rice-Solution'!$M$29-'Rachford-Rice-Solution'!$L$29)/999</f>
        <v>1.0582587904152785</v>
      </c>
      <c r="C839" cm="1">
        <f t="array" ref="C839">RR_Eq('Rachford-Rice-Solution'!$B$29,'Rachford-Rice-Solution'!$C$29,'Rachford-Rice-Solution'!$D$29,'Rachford-Rice-Solution'!$E$29,B839)</f>
        <v>-4.5087745075192336</v>
      </c>
    </row>
    <row r="840" spans="1:3" x14ac:dyDescent="0.35">
      <c r="A840">
        <v>838</v>
      </c>
      <c r="B840">
        <f>B839+('Rachford-Rice-Solution'!$M$29-'Rachford-Rice-Solution'!$L$29)/999</f>
        <v>1.0595262955662756</v>
      </c>
      <c r="C840" cm="1">
        <f t="array" ref="C840">RR_Eq('Rachford-Rice-Solution'!$B$29,'Rachford-Rice-Solution'!$C$29,'Rachford-Rice-Solution'!$D$29,'Rachford-Rice-Solution'!$E$29,B840)</f>
        <v>-4.5370048528660334</v>
      </c>
    </row>
    <row r="841" spans="1:3" x14ac:dyDescent="0.35">
      <c r="A841">
        <v>839</v>
      </c>
      <c r="B841">
        <f>B840+('Rachford-Rice-Solution'!$M$29-'Rachford-Rice-Solution'!$L$29)/999</f>
        <v>1.0607938007172728</v>
      </c>
      <c r="C841" cm="1">
        <f t="array" ref="C841">RR_Eq('Rachford-Rice-Solution'!$B$29,'Rachford-Rice-Solution'!$C$29,'Rachford-Rice-Solution'!$D$29,'Rachford-Rice-Solution'!$E$29,B841)</f>
        <v>-4.5655849289820711</v>
      </c>
    </row>
    <row r="842" spans="1:3" x14ac:dyDescent="0.35">
      <c r="A842">
        <v>840</v>
      </c>
      <c r="B842">
        <f>B841+('Rachford-Rice-Solution'!$M$29-'Rachford-Rice-Solution'!$L$29)/999</f>
        <v>1.06206130586827</v>
      </c>
      <c r="C842" cm="1">
        <f t="array" ref="C842">RR_Eq('Rachford-Rice-Solution'!$B$29,'Rachford-Rice-Solution'!$C$29,'Rachford-Rice-Solution'!$D$29,'Rachford-Rice-Solution'!$E$29,B842)</f>
        <v>-4.5945212967616893</v>
      </c>
    </row>
    <row r="843" spans="1:3" x14ac:dyDescent="0.35">
      <c r="A843">
        <v>841</v>
      </c>
      <c r="B843">
        <f>B842+('Rachford-Rice-Solution'!$M$29-'Rachford-Rice-Solution'!$L$29)/999</f>
        <v>1.0633288110192671</v>
      </c>
      <c r="C843" cm="1">
        <f t="array" ref="C843">RR_Eq('Rachford-Rice-Solution'!$B$29,'Rachford-Rice-Solution'!$C$29,'Rachford-Rice-Solution'!$D$29,'Rachford-Rice-Solution'!$E$29,B843)</f>
        <v>-4.6238206821366816</v>
      </c>
    </row>
    <row r="844" spans="1:3" x14ac:dyDescent="0.35">
      <c r="A844">
        <v>842</v>
      </c>
      <c r="B844">
        <f>B843+('Rachford-Rice-Solution'!$M$29-'Rachford-Rice-Solution'!$L$29)/999</f>
        <v>1.0645963161702643</v>
      </c>
      <c r="C844" cm="1">
        <f t="array" ref="C844">RR_Eq('Rachford-Rice-Solution'!$B$29,'Rachford-Rice-Solution'!$C$29,'Rachford-Rice-Solution'!$D$29,'Rachford-Rice-Solution'!$E$29,B844)</f>
        <v>-4.6534899812990957</v>
      </c>
    </row>
    <row r="845" spans="1:3" x14ac:dyDescent="0.35">
      <c r="A845">
        <v>843</v>
      </c>
      <c r="B845">
        <f>B844+('Rachford-Rice-Solution'!$M$29-'Rachford-Rice-Solution'!$L$29)/999</f>
        <v>1.0658638213212615</v>
      </c>
      <c r="C845" cm="1">
        <f t="array" ref="C845">RR_Eq('Rachford-Rice-Solution'!$B$29,'Rachford-Rice-Solution'!$C$29,'Rachford-Rice-Solution'!$D$29,'Rachford-Rice-Solution'!$E$29,B845)</f>
        <v>-4.6835362661236308</v>
      </c>
    </row>
    <row r="846" spans="1:3" x14ac:dyDescent="0.35">
      <c r="A846">
        <v>844</v>
      </c>
      <c r="B846">
        <f>B845+('Rachford-Rice-Solution'!$M$29-'Rachford-Rice-Solution'!$L$29)/999</f>
        <v>1.0671313264722586</v>
      </c>
      <c r="C846" cm="1">
        <f t="array" ref="C846">RR_Eq('Rachford-Rice-Solution'!$B$29,'Rachford-Rice-Solution'!$C$29,'Rachford-Rice-Solution'!$D$29,'Rachford-Rice-Solution'!$E$29,B846)</f>
        <v>-4.7139667897985928</v>
      </c>
    </row>
    <row r="847" spans="1:3" x14ac:dyDescent="0.35">
      <c r="A847">
        <v>845</v>
      </c>
      <c r="B847">
        <f>B846+('Rachford-Rice-Solution'!$M$29-'Rachford-Rice-Solution'!$L$29)/999</f>
        <v>1.0683988316232558</v>
      </c>
      <c r="C847" cm="1">
        <f t="array" ref="C847">RR_Eq('Rachford-Rice-Solution'!$B$29,'Rachford-Rice-Solution'!$C$29,'Rachford-Rice-Solution'!$D$29,'Rachford-Rice-Solution'!$E$29,B847)</f>
        <v>-4.7447889926748159</v>
      </c>
    </row>
    <row r="848" spans="1:3" x14ac:dyDescent="0.35">
      <c r="A848">
        <v>846</v>
      </c>
      <c r="B848">
        <f>B847+('Rachford-Rice-Solution'!$M$29-'Rachford-Rice-Solution'!$L$29)/999</f>
        <v>1.0696663367742529</v>
      </c>
      <c r="C848" cm="1">
        <f t="array" ref="C848">RR_Eq('Rachford-Rice-Solution'!$B$29,'Rachford-Rice-Solution'!$C$29,'Rachford-Rice-Solution'!$D$29,'Rachford-Rice-Solution'!$E$29,B848)</f>
        <v>-4.7760105083424689</v>
      </c>
    </row>
    <row r="849" spans="1:3" x14ac:dyDescent="0.35">
      <c r="A849">
        <v>847</v>
      </c>
      <c r="B849">
        <f>B848+('Rachford-Rice-Solution'!$M$29-'Rachford-Rice-Solution'!$L$29)/999</f>
        <v>1.0709338419252501</v>
      </c>
      <c r="C849" cm="1">
        <f t="array" ref="C849">RR_Eq('Rachford-Rice-Solution'!$B$29,'Rachford-Rice-Solution'!$C$29,'Rachford-Rice-Solution'!$D$29,'Rachford-Rice-Solution'!$E$29,B849)</f>
        <v>-4.8076391699461629</v>
      </c>
    </row>
    <row r="850" spans="1:3" x14ac:dyDescent="0.35">
      <c r="A850">
        <v>848</v>
      </c>
      <c r="B850">
        <f>B849+('Rachford-Rice-Solution'!$M$29-'Rachford-Rice-Solution'!$L$29)/999</f>
        <v>1.0722013470762473</v>
      </c>
      <c r="C850" cm="1">
        <f t="array" ref="C850">RR_Eq('Rachford-Rice-Solution'!$B$29,'Rachford-Rice-Solution'!$C$29,'Rachford-Rice-Solution'!$D$29,'Rachford-Rice-Solution'!$E$29,B850)</f>
        <v>-4.8396830167493441</v>
      </c>
    </row>
    <row r="851" spans="1:3" x14ac:dyDescent="0.35">
      <c r="A851">
        <v>849</v>
      </c>
      <c r="B851">
        <f>B850+('Rachford-Rice-Solution'!$M$29-'Rachford-Rice-Solution'!$L$29)/999</f>
        <v>1.0734688522272444</v>
      </c>
      <c r="C851" cm="1">
        <f t="array" ref="C851">RR_Eq('Rachford-Rice-Solution'!$B$29,'Rachford-Rice-Solution'!$C$29,'Rachford-Rice-Solution'!$D$29,'Rachford-Rice-Solution'!$E$29,B851)</f>
        <v>-4.8721503009595111</v>
      </c>
    </row>
    <row r="852" spans="1:3" x14ac:dyDescent="0.35">
      <c r="A852">
        <v>850</v>
      </c>
      <c r="B852">
        <f>B851+('Rachford-Rice-Solution'!$M$29-'Rachford-Rice-Solution'!$L$29)/999</f>
        <v>1.0747363573782416</v>
      </c>
      <c r="C852" cm="1">
        <f t="array" ref="C852">RR_Eq('Rachford-Rice-Solution'!$B$29,'Rachford-Rice-Solution'!$C$29,'Rachford-Rice-Solution'!$D$29,'Rachford-Rice-Solution'!$E$29,B852)</f>
        <v>-4.9050494948264589</v>
      </c>
    </row>
    <row r="853" spans="1:3" x14ac:dyDescent="0.35">
      <c r="A853">
        <v>851</v>
      </c>
      <c r="B853">
        <f>B852+('Rachford-Rice-Solution'!$M$29-'Rachford-Rice-Solution'!$L$29)/999</f>
        <v>1.0760038625292387</v>
      </c>
      <c r="C853" cm="1">
        <f t="array" ref="C853">RR_Eq('Rachford-Rice-Solution'!$B$29,'Rachford-Rice-Solution'!$C$29,'Rachford-Rice-Solution'!$D$29,'Rachford-Rice-Solution'!$E$29,B853)</f>
        <v>-4.938389298026336</v>
      </c>
    </row>
    <row r="854" spans="1:3" x14ac:dyDescent="0.35">
      <c r="A854">
        <v>852</v>
      </c>
      <c r="B854">
        <f>B853+('Rachford-Rice-Solution'!$M$29-'Rachford-Rice-Solution'!$L$29)/999</f>
        <v>1.0772713676802359</v>
      </c>
      <c r="C854" cm="1">
        <f t="array" ref="C854">RR_Eq('Rachford-Rice-Solution'!$B$29,'Rachford-Rice-Solution'!$C$29,'Rachford-Rice-Solution'!$D$29,'Rachford-Rice-Solution'!$E$29,B854)</f>
        <v>-4.9721786453450756</v>
      </c>
    </row>
    <row r="855" spans="1:3" x14ac:dyDescent="0.35">
      <c r="A855">
        <v>853</v>
      </c>
      <c r="B855">
        <f>B854+('Rachford-Rice-Solution'!$M$29-'Rachford-Rice-Solution'!$L$29)/999</f>
        <v>1.0785388728312331</v>
      </c>
      <c r="C855" cm="1">
        <f t="array" ref="C855">RR_Eq('Rachford-Rice-Solution'!$B$29,'Rachford-Rice-Solution'!$C$29,'Rachford-Rice-Solution'!$D$29,'Rachford-Rice-Solution'!$E$29,B855)</f>
        <v>-5.0064267146754142</v>
      </c>
    </row>
    <row r="856" spans="1:3" x14ac:dyDescent="0.35">
      <c r="A856">
        <v>854</v>
      </c>
      <c r="B856">
        <f>B855+('Rachford-Rice-Solution'!$M$29-'Rachford-Rice-Solution'!$L$29)/999</f>
        <v>1.0798063779822302</v>
      </c>
      <c r="C856" cm="1">
        <f t="array" ref="C856">RR_Eq('Rachford-Rice-Solution'!$B$29,'Rachford-Rice-Solution'!$C$29,'Rachford-Rice-Solution'!$D$29,'Rachford-Rice-Solution'!$E$29,B856)</f>
        <v>-5.0411429353425738</v>
      </c>
    </row>
    <row r="857" spans="1:3" x14ac:dyDescent="0.35">
      <c r="A857">
        <v>855</v>
      </c>
      <c r="B857">
        <f>B856+('Rachford-Rice-Solution'!$M$29-'Rachford-Rice-Solution'!$L$29)/999</f>
        <v>1.0810738831332274</v>
      </c>
      <c r="C857" cm="1">
        <f t="array" ref="C857">RR_Eq('Rachford-Rice-Solution'!$B$29,'Rachford-Rice-Solution'!$C$29,'Rachford-Rice-Solution'!$D$29,'Rachford-Rice-Solution'!$E$29,B857)</f>
        <v>-5.0763369967744447</v>
      </c>
    </row>
    <row r="858" spans="1:3" x14ac:dyDescent="0.35">
      <c r="A858">
        <v>856</v>
      </c>
      <c r="B858">
        <f>B857+('Rachford-Rice-Solution'!$M$29-'Rachford-Rice-Solution'!$L$29)/999</f>
        <v>1.0823413882842245</v>
      </c>
      <c r="C858" cm="1">
        <f t="array" ref="C858">RR_Eq('Rachford-Rice-Solution'!$B$29,'Rachford-Rice-Solution'!$C$29,'Rachford-Rice-Solution'!$D$29,'Rachford-Rice-Solution'!$E$29,B858)</f>
        <v>-5.1120188575330241</v>
      </c>
    </row>
    <row r="859" spans="1:3" x14ac:dyDescent="0.35">
      <c r="A859">
        <v>857</v>
      </c>
      <c r="B859">
        <f>B858+('Rachford-Rice-Solution'!$M$29-'Rachford-Rice-Solution'!$L$29)/999</f>
        <v>1.0836088934352217</v>
      </c>
      <c r="C859" cm="1">
        <f t="array" ref="C859">RR_Eq('Rachford-Rice-Solution'!$B$29,'Rachford-Rice-Solution'!$C$29,'Rachford-Rice-Solution'!$D$29,'Rachford-Rice-Solution'!$E$29,B859)</f>
        <v>-5.14819875472479</v>
      </c>
    </row>
    <row r="860" spans="1:3" x14ac:dyDescent="0.35">
      <c r="A860">
        <v>858</v>
      </c>
      <c r="B860">
        <f>B859+('Rachford-Rice-Solution'!$M$29-'Rachford-Rice-Solution'!$L$29)/999</f>
        <v>1.0848763985862189</v>
      </c>
      <c r="C860" cm="1">
        <f t="array" ref="C860">RR_Eq('Rachford-Rice-Solution'!$B$29,'Rachford-Rice-Solution'!$C$29,'Rachford-Rice-Solution'!$D$29,'Rachford-Rice-Solution'!$E$29,B860)</f>
        <v>-5.1848872138087163</v>
      </c>
    </row>
    <row r="861" spans="1:3" x14ac:dyDescent="0.35">
      <c r="A861">
        <v>859</v>
      </c>
      <c r="B861">
        <f>B860+('Rachford-Rice-Solution'!$M$29-'Rachford-Rice-Solution'!$L$29)/999</f>
        <v>1.086143903737216</v>
      </c>
      <c r="C861" cm="1">
        <f t="array" ref="C861">RR_Eq('Rachford-Rice-Solution'!$B$29,'Rachford-Rice-Solution'!$C$29,'Rachford-Rice-Solution'!$D$29,'Rachford-Rice-Solution'!$E$29,B861)</f>
        <v>-5.2220950588216368</v>
      </c>
    </row>
    <row r="862" spans="1:3" x14ac:dyDescent="0.35">
      <c r="A862">
        <v>860</v>
      </c>
      <c r="B862">
        <f>B861+('Rachford-Rice-Solution'!$M$29-'Rachford-Rice-Solution'!$L$29)/999</f>
        <v>1.0874114088882132</v>
      </c>
      <c r="C862" cm="1">
        <f t="array" ref="C862">RR_Eq('Rachford-Rice-Solution'!$B$29,'Rachford-Rice-Solution'!$C$29,'Rachford-Rice-Solution'!$D$29,'Rachford-Rice-Solution'!$E$29,B862)</f>
        <v>-5.2598334230418251</v>
      </c>
    </row>
    <row r="863" spans="1:3" x14ac:dyDescent="0.35">
      <c r="A863">
        <v>861</v>
      </c>
      <c r="B863">
        <f>B862+('Rachford-Rice-Solution'!$M$29-'Rachford-Rice-Solution'!$L$29)/999</f>
        <v>1.0886789140392104</v>
      </c>
      <c r="C863" cm="1">
        <f t="array" ref="C863">RR_Eq('Rachford-Rice-Solution'!$B$29,'Rachford-Rice-Solution'!$C$29,'Rachford-Rice-Solution'!$D$29,'Rachford-Rice-Solution'!$E$29,B863)</f>
        <v>-5.2981137601128987</v>
      </c>
    </row>
    <row r="864" spans="1:3" x14ac:dyDescent="0.35">
      <c r="A864">
        <v>862</v>
      </c>
      <c r="B864">
        <f>B863+('Rachford-Rice-Solution'!$M$29-'Rachford-Rice-Solution'!$L$29)/999</f>
        <v>1.0899464191902075</v>
      </c>
      <c r="C864" cm="1">
        <f t="array" ref="C864">RR_Eq('Rachford-Rice-Solution'!$B$29,'Rachford-Rice-Solution'!$C$29,'Rachford-Rice-Solution'!$D$29,'Rachford-Rice-Solution'!$E$29,B864)</f>
        <v>-5.3369478556513483</v>
      </c>
    </row>
    <row r="865" spans="1:3" x14ac:dyDescent="0.35">
      <c r="A865">
        <v>863</v>
      </c>
      <c r="B865">
        <f>B864+('Rachford-Rice-Solution'!$M$29-'Rachford-Rice-Solution'!$L$29)/999</f>
        <v>1.0912139243412047</v>
      </c>
      <c r="C865" cm="1">
        <f t="array" ref="C865">RR_Eq('Rachford-Rice-Solution'!$B$29,'Rachford-Rice-Solution'!$C$29,'Rachford-Rice-Solution'!$D$29,'Rachford-Rice-Solution'!$E$29,B865)</f>
        <v>-5.3763478393624391</v>
      </c>
    </row>
    <row r="866" spans="1:3" x14ac:dyDescent="0.35">
      <c r="A866">
        <v>864</v>
      </c>
      <c r="B866">
        <f>B865+('Rachford-Rice-Solution'!$M$29-'Rachford-Rice-Solution'!$L$29)/999</f>
        <v>1.0924814294922018</v>
      </c>
      <c r="C866" cm="1">
        <f t="array" ref="C866">RR_Eq('Rachford-Rice-Solution'!$B$29,'Rachford-Rice-Solution'!$C$29,'Rachford-Rice-Solution'!$D$29,'Rachford-Rice-Solution'!$E$29,B866)</f>
        <v>-5.4163261976906298</v>
      </c>
    </row>
    <row r="867" spans="1:3" x14ac:dyDescent="0.35">
      <c r="A867">
        <v>865</v>
      </c>
      <c r="B867">
        <f>B866+('Rachford-Rice-Solution'!$M$29-'Rachford-Rice-Solution'!$L$29)/999</f>
        <v>1.093748934643199</v>
      </c>
      <c r="C867" cm="1">
        <f t="array" ref="C867">RR_Eq('Rachford-Rice-Solution'!$B$29,'Rachford-Rice-Solution'!$C$29,'Rachford-Rice-Solution'!$D$29,'Rachford-Rice-Solution'!$E$29,B867)</f>
        <v>-5.4568957870322334</v>
      </c>
    </row>
    <row r="868" spans="1:3" x14ac:dyDescent="0.35">
      <c r="A868">
        <v>866</v>
      </c>
      <c r="B868">
        <f>B867+('Rachford-Rice-Solution'!$M$29-'Rachford-Rice-Solution'!$L$29)/999</f>
        <v>1.0950164397941962</v>
      </c>
      <c r="C868" cm="1">
        <f t="array" ref="C868">RR_Eq('Rachford-Rice-Solution'!$B$29,'Rachford-Rice-Solution'!$C$29,'Rachford-Rice-Solution'!$D$29,'Rachford-Rice-Solution'!$E$29,B868)</f>
        <v>-5.4980698475396919</v>
      </c>
    </row>
    <row r="869" spans="1:3" x14ac:dyDescent="0.35">
      <c r="A869">
        <v>867</v>
      </c>
      <c r="B869">
        <f>B868+('Rachford-Rice-Solution'!$M$29-'Rachford-Rice-Solution'!$L$29)/999</f>
        <v>1.0962839449451933</v>
      </c>
      <c r="C869" cm="1">
        <f t="array" ref="C869">RR_Eq('Rachford-Rice-Solution'!$B$29,'Rachford-Rice-Solution'!$C$29,'Rachford-Rice-Solution'!$D$29,'Rachford-Rice-Solution'!$E$29,B869)</f>
        <v>-5.5398620175485913</v>
      </c>
    </row>
    <row r="870" spans="1:3" x14ac:dyDescent="0.35">
      <c r="A870">
        <v>868</v>
      </c>
      <c r="B870">
        <f>B869+('Rachford-Rice-Solution'!$M$29-'Rachford-Rice-Solution'!$L$29)/999</f>
        <v>1.0975514500961905</v>
      </c>
      <c r="C870" cm="1">
        <f t="array" ref="C870">RR_Eq('Rachford-Rice-Solution'!$B$29,'Rachford-Rice-Solution'!$C$29,'Rachford-Rice-Solution'!$D$29,'Rachford-Rice-Solution'!$E$29,B870)</f>
        <v>-5.5822863486604586</v>
      </c>
    </row>
    <row r="871" spans="1:3" x14ac:dyDescent="0.35">
      <c r="A871">
        <v>869</v>
      </c>
      <c r="B871">
        <f>B870+('Rachford-Rice-Solution'!$M$29-'Rachford-Rice-Solution'!$L$29)/999</f>
        <v>1.0988189552471876</v>
      </c>
      <c r="C871" cm="1">
        <f t="array" ref="C871">RR_Eq('Rachford-Rice-Solution'!$B$29,'Rachford-Rice-Solution'!$C$29,'Rachford-Rice-Solution'!$D$29,'Rachford-Rice-Solution'!$E$29,B871)</f>
        <v>-5.625357321516371</v>
      </c>
    </row>
    <row r="872" spans="1:3" x14ac:dyDescent="0.35">
      <c r="A872">
        <v>870</v>
      </c>
      <c r="B872">
        <f>B871+('Rachford-Rice-Solution'!$M$29-'Rachford-Rice-Solution'!$L$29)/999</f>
        <v>1.1000864603981848</v>
      </c>
      <c r="C872" cm="1">
        <f t="array" ref="C872">RR_Eq('Rachford-Rice-Solution'!$B$29,'Rachford-Rice-Solution'!$C$29,'Rachford-Rice-Solution'!$D$29,'Rachford-Rice-Solution'!$E$29,B872)</f>
        <v>-5.6690898622985699</v>
      </c>
    </row>
    <row r="873" spans="1:3" x14ac:dyDescent="0.35">
      <c r="A873">
        <v>871</v>
      </c>
      <c r="B873">
        <f>B872+('Rachford-Rice-Solution'!$M$29-'Rachford-Rice-Solution'!$L$29)/999</f>
        <v>1.101353965549182</v>
      </c>
      <c r="C873" cm="1">
        <f t="array" ref="C873">RR_Eq('Rachford-Rice-Solution'!$B$29,'Rachford-Rice-Solution'!$C$29,'Rachford-Rice-Solution'!$D$29,'Rachford-Rice-Solution'!$E$29,B873)</f>
        <v>-5.7134993599996013</v>
      </c>
    </row>
    <row r="874" spans="1:3" x14ac:dyDescent="0.35">
      <c r="A874">
        <v>872</v>
      </c>
      <c r="B874">
        <f>B873+('Rachford-Rice-Solution'!$M$29-'Rachford-Rice-Solution'!$L$29)/999</f>
        <v>1.1026214707001791</v>
      </c>
      <c r="C874" cm="1">
        <f t="array" ref="C874">RR_Eq('Rachford-Rice-Solution'!$B$29,'Rachford-Rice-Solution'!$C$29,'Rachford-Rice-Solution'!$D$29,'Rachford-Rice-Solution'!$E$29,B874)</f>
        <v>-5.7586016845009445</v>
      </c>
    </row>
    <row r="875" spans="1:3" x14ac:dyDescent="0.35">
      <c r="A875">
        <v>873</v>
      </c>
      <c r="B875">
        <f>B874+('Rachford-Rice-Solution'!$M$29-'Rachford-Rice-Solution'!$L$29)/999</f>
        <v>1.1038889758511763</v>
      </c>
      <c r="C875" cm="1">
        <f t="array" ref="C875">RR_Eq('Rachford-Rice-Solution'!$B$29,'Rachford-Rice-Solution'!$C$29,'Rachford-Rice-Solution'!$D$29,'Rachford-Rice-Solution'!$E$29,B875)</f>
        <v>-5.8044132055057354</v>
      </c>
    </row>
    <row r="876" spans="1:3" x14ac:dyDescent="0.35">
      <c r="A876">
        <v>874</v>
      </c>
      <c r="B876">
        <f>B875+('Rachford-Rice-Solution'!$M$29-'Rachford-Rice-Solution'!$L$29)/999</f>
        <v>1.1051564810021735</v>
      </c>
      <c r="C876" cm="1">
        <f t="array" ref="C876">RR_Eq('Rachford-Rice-Solution'!$B$29,'Rachford-Rice-Solution'!$C$29,'Rachford-Rice-Solution'!$D$29,'Rachford-Rice-Solution'!$E$29,B876)</f>
        <v>-5.8509508123730702</v>
      </c>
    </row>
    <row r="877" spans="1:3" x14ac:dyDescent="0.35">
      <c r="A877">
        <v>875</v>
      </c>
      <c r="B877">
        <f>B876+('Rachford-Rice-Solution'!$M$29-'Rachford-Rice-Solution'!$L$29)/999</f>
        <v>1.1064239861531706</v>
      </c>
      <c r="C877" cm="1">
        <f t="array" ref="C877">RR_Eq('Rachford-Rice-Solution'!$B$29,'Rachford-Rice-Solution'!$C$29,'Rachford-Rice-Solution'!$D$29,'Rachford-Rice-Solution'!$E$29,B877)</f>
        <v>-5.8982319349043379</v>
      </c>
    </row>
    <row r="878" spans="1:3" x14ac:dyDescent="0.35">
      <c r="A878">
        <v>876</v>
      </c>
      <c r="B878">
        <f>B877+('Rachford-Rice-Solution'!$M$29-'Rachford-Rice-Solution'!$L$29)/999</f>
        <v>1.1076914913041678</v>
      </c>
      <c r="C878" cm="1">
        <f t="array" ref="C878">RR_Eq('Rachford-Rice-Solution'!$B$29,'Rachford-Rice-Solution'!$C$29,'Rachford-Rice-Solution'!$D$29,'Rachford-Rice-Solution'!$E$29,B878)</f>
        <v>-5.9462745651353437</v>
      </c>
    </row>
    <row r="879" spans="1:3" x14ac:dyDescent="0.35">
      <c r="A879">
        <v>877</v>
      </c>
      <c r="B879">
        <f>B878+('Rachford-Rice-Solution'!$M$29-'Rachford-Rice-Solution'!$L$29)/999</f>
        <v>1.1089589964551649</v>
      </c>
      <c r="C879" cm="1">
        <f t="array" ref="C879">RR_Eq('Rachford-Rice-Solution'!$B$29,'Rachford-Rice-Solution'!$C$29,'Rachford-Rice-Solution'!$D$29,'Rachford-Rice-Solution'!$E$29,B879)</f>
        <v>-5.9950972801914713</v>
      </c>
    </row>
    <row r="880" spans="1:3" x14ac:dyDescent="0.35">
      <c r="A880">
        <v>878</v>
      </c>
      <c r="B880">
        <f>B879+('Rachford-Rice-Solution'!$M$29-'Rachford-Rice-Solution'!$L$29)/999</f>
        <v>1.1102265016061621</v>
      </c>
      <c r="C880" cm="1">
        <f t="array" ref="C880">RR_Eq('Rachford-Rice-Solution'!$B$29,'Rachford-Rice-Solution'!$C$29,'Rachford-Rice-Solution'!$D$29,'Rachford-Rice-Solution'!$E$29,B880)</f>
        <v>-6.0447192662668661</v>
      </c>
    </row>
    <row r="881" spans="1:3" x14ac:dyDescent="0.35">
      <c r="A881">
        <v>879</v>
      </c>
      <c r="B881">
        <f>B880+('Rachford-Rice-Solution'!$M$29-'Rachford-Rice-Solution'!$L$29)/999</f>
        <v>1.1114940067571593</v>
      </c>
      <c r="C881" cm="1">
        <f t="array" ref="C881">RR_Eq('Rachford-Rice-Solution'!$B$29,'Rachford-Rice-Solution'!$C$29,'Rachford-Rice-Solution'!$D$29,'Rachford-Rice-Solution'!$E$29,B881)</f>
        <v>-6.095160343792644</v>
      </c>
    </row>
    <row r="882" spans="1:3" x14ac:dyDescent="0.35">
      <c r="A882">
        <v>880</v>
      </c>
      <c r="B882">
        <f>B881+('Rachford-Rice-Solution'!$M$29-'Rachford-Rice-Solution'!$L$29)/999</f>
        <v>1.1127615119081564</v>
      </c>
      <c r="C882" cm="1">
        <f t="array" ref="C882">RR_Eq('Rachford-Rice-Solution'!$B$29,'Rachford-Rice-Solution'!$C$29,'Rachford-Rice-Solution'!$D$29,'Rachford-Rice-Solution'!$E$29,B882)</f>
        <v>-6.1464409938635649</v>
      </c>
    </row>
    <row r="883" spans="1:3" x14ac:dyDescent="0.35">
      <c r="A883">
        <v>881</v>
      </c>
      <c r="B883">
        <f>B882+('Rachford-Rice-Solution'!$M$29-'Rachford-Rice-Solution'!$L$29)/999</f>
        <v>1.1140290170591536</v>
      </c>
      <c r="C883" cm="1">
        <f t="array" ref="C883">RR_Eq('Rachford-Rice-Solution'!$B$29,'Rachford-Rice-Solution'!$C$29,'Rachford-Rice-Solution'!$D$29,'Rachford-Rice-Solution'!$E$29,B883)</f>
        <v>-6.1985823859970841</v>
      </c>
    </row>
    <row r="884" spans="1:3" x14ac:dyDescent="0.35">
      <c r="A884">
        <v>882</v>
      </c>
      <c r="B884">
        <f>B883+('Rachford-Rice-Solution'!$M$29-'Rachford-Rice-Solution'!$L$29)/999</f>
        <v>1.1152965222101507</v>
      </c>
      <c r="C884" cm="1">
        <f t="array" ref="C884">RR_Eq('Rachford-Rice-Solution'!$B$29,'Rachford-Rice-Solution'!$C$29,'Rachford-Rice-Solution'!$D$29,'Rachford-Rice-Solution'!$E$29,B884)</f>
        <v>-6.2516064073039157</v>
      </c>
    </row>
    <row r="885" spans="1:3" x14ac:dyDescent="0.35">
      <c r="A885">
        <v>883</v>
      </c>
      <c r="B885">
        <f>B884+('Rachford-Rice-Solution'!$M$29-'Rachford-Rice-Solution'!$L$29)/999</f>
        <v>1.1165640273611479</v>
      </c>
      <c r="C885" cm="1">
        <f t="array" ref="C885">RR_Eq('Rachford-Rice-Solution'!$B$29,'Rachford-Rice-Solution'!$C$29,'Rachford-Rice-Solution'!$D$29,'Rachford-Rice-Solution'!$E$29,B885)</f>
        <v>-6.3055356931545088</v>
      </c>
    </row>
    <row r="886" spans="1:3" x14ac:dyDescent="0.35">
      <c r="A886">
        <v>884</v>
      </c>
      <c r="B886">
        <f>B885+('Rachford-Rice-Solution'!$M$29-'Rachford-Rice-Solution'!$L$29)/999</f>
        <v>1.1178315325121451</v>
      </c>
      <c r="C886" cm="1">
        <f t="array" ref="C886">RR_Eq('Rachford-Rice-Solution'!$B$29,'Rachford-Rice-Solution'!$C$29,'Rachford-Rice-Solution'!$D$29,'Rachford-Rice-Solution'!$E$29,B886)</f>
        <v>-6.3603936594317192</v>
      </c>
    </row>
    <row r="887" spans="1:3" x14ac:dyDescent="0.35">
      <c r="A887">
        <v>885</v>
      </c>
      <c r="B887">
        <f>B886+('Rachford-Rice-Solution'!$M$29-'Rachford-Rice-Solution'!$L$29)/999</f>
        <v>1.1190990376631422</v>
      </c>
      <c r="C887" cm="1">
        <f t="array" ref="C887">RR_Eq('Rachford-Rice-Solution'!$B$29,'Rachford-Rice-Solution'!$C$29,'Rachford-Rice-Solution'!$D$29,'Rachford-Rice-Solution'!$E$29,B887)</f>
        <v>-6.4162045364662399</v>
      </c>
    </row>
    <row r="888" spans="1:3" x14ac:dyDescent="0.35">
      <c r="A888">
        <v>886</v>
      </c>
      <c r="B888">
        <f>B887+('Rachford-Rice-Solution'!$M$29-'Rachford-Rice-Solution'!$L$29)/999</f>
        <v>1.1203665428141394</v>
      </c>
      <c r="C888" cm="1">
        <f t="array" ref="C888">RR_Eq('Rachford-Rice-Solution'!$B$29,'Rachford-Rice-Solution'!$C$29,'Rachford-Rice-Solution'!$D$29,'Rachford-Rice-Solution'!$E$29,B888)</f>
        <v>-6.4729934047580908</v>
      </c>
    </row>
    <row r="889" spans="1:3" x14ac:dyDescent="0.35">
      <c r="A889">
        <v>887</v>
      </c>
      <c r="B889">
        <f>B888+('Rachford-Rice-Solution'!$M$29-'Rachford-Rice-Solution'!$L$29)/999</f>
        <v>1.1216340479651365</v>
      </c>
      <c r="C889" cm="1">
        <f t="array" ref="C889">RR_Eq('Rachford-Rice-Solution'!$B$29,'Rachford-Rice-Solution'!$C$29,'Rachford-Rice-Solution'!$D$29,'Rachford-Rice-Solution'!$E$29,B889)</f>
        <v>-6.530786232594834</v>
      </c>
    </row>
    <row r="890" spans="1:3" x14ac:dyDescent="0.35">
      <c r="A890">
        <v>888</v>
      </c>
      <c r="B890">
        <f>B889+('Rachford-Rice-Solution'!$M$29-'Rachford-Rice-Solution'!$L$29)/999</f>
        <v>1.1229015531161337</v>
      </c>
      <c r="C890" cm="1">
        <f t="array" ref="C890">RR_Eq('Rachford-Rice-Solution'!$B$29,'Rachford-Rice-Solution'!$C$29,'Rachford-Rice-Solution'!$D$29,'Rachford-Rice-Solution'!$E$29,B890)</f>
        <v>-6.5896099156850472</v>
      </c>
    </row>
    <row r="891" spans="1:3" x14ac:dyDescent="0.35">
      <c r="A891">
        <v>889</v>
      </c>
      <c r="B891">
        <f>B890+('Rachford-Rice-Solution'!$M$29-'Rachford-Rice-Solution'!$L$29)/999</f>
        <v>1.1241690582671309</v>
      </c>
      <c r="C891" cm="1">
        <f t="array" ref="C891">RR_Eq('Rachford-Rice-Solution'!$B$29,'Rachford-Rice-Solution'!$C$29,'Rachford-Rice-Solution'!$D$29,'Rachford-Rice-Solution'!$E$29,B891)</f>
        <v>-6.6494923189341479</v>
      </c>
    </row>
    <row r="892" spans="1:3" x14ac:dyDescent="0.35">
      <c r="A892">
        <v>890</v>
      </c>
      <c r="B892">
        <f>B891+('Rachford-Rice-Solution'!$M$29-'Rachford-Rice-Solution'!$L$29)/999</f>
        <v>1.125436563418128</v>
      </c>
      <c r="C892" cm="1">
        <f t="array" ref="C892">RR_Eq('Rachford-Rice-Solution'!$B$29,'Rachford-Rice-Solution'!$C$29,'Rachford-Rice-Solution'!$D$29,'Rachford-Rice-Solution'!$E$29,B892)</f>
        <v>-6.7104623204988947</v>
      </c>
    </row>
    <row r="893" spans="1:3" x14ac:dyDescent="0.35">
      <c r="A893">
        <v>891</v>
      </c>
      <c r="B893">
        <f>B892+('Rachford-Rice-Solution'!$M$29-'Rachford-Rice-Solution'!$L$29)/999</f>
        <v>1.1267040685691252</v>
      </c>
      <c r="C893" cm="1">
        <f t="array" ref="C893">RR_Eq('Rachford-Rice-Solution'!$B$29,'Rachford-Rice-Solution'!$C$29,'Rachford-Rice-Solution'!$D$29,'Rachford-Rice-Solution'!$E$29,B893)</f>
        <v>-6.7725498582669061</v>
      </c>
    </row>
    <row r="894" spans="1:3" x14ac:dyDescent="0.35">
      <c r="A894">
        <v>892</v>
      </c>
      <c r="B894">
        <f>B893+('Rachford-Rice-Solution'!$M$29-'Rachford-Rice-Solution'!$L$29)/999</f>
        <v>1.1279715737201224</v>
      </c>
      <c r="C894" cm="1">
        <f t="array" ref="C894">RR_Eq('Rachford-Rice-Solution'!$B$29,'Rachford-Rice-Solution'!$C$29,'Rachford-Rice-Solution'!$D$29,'Rachford-Rice-Solution'!$E$29,B894)</f>
        <v>-6.8357859789183841</v>
      </c>
    </row>
    <row r="895" spans="1:3" x14ac:dyDescent="0.35">
      <c r="A895">
        <v>893</v>
      </c>
      <c r="B895">
        <f>B894+('Rachford-Rice-Solution'!$M$29-'Rachford-Rice-Solution'!$L$29)/999</f>
        <v>1.1292390788711195</v>
      </c>
      <c r="C895" cm="1">
        <f t="array" ref="C895">RR_Eq('Rachford-Rice-Solution'!$B$29,'Rachford-Rice-Solution'!$C$29,'Rachford-Rice-Solution'!$D$29,'Rachford-Rice-Solution'!$E$29,B895)</f>
        <v>-6.9002028897389476</v>
      </c>
    </row>
    <row r="896" spans="1:3" x14ac:dyDescent="0.35">
      <c r="A896">
        <v>894</v>
      </c>
      <c r="B896">
        <f>B895+('Rachford-Rice-Solution'!$M$29-'Rachford-Rice-Solution'!$L$29)/999</f>
        <v>1.1305065840221167</v>
      </c>
      <c r="C896" cm="1">
        <f t="array" ref="C896">RR_Eq('Rachford-Rice-Solution'!$B$29,'Rachford-Rice-Solution'!$C$29,'Rachford-Rice-Solution'!$D$29,'Rachford-Rice-Solution'!$E$29,B896)</f>
        <v>-6.9658340133652707</v>
      </c>
    </row>
    <row r="897" spans="1:3" x14ac:dyDescent="0.35">
      <c r="A897">
        <v>895</v>
      </c>
      <c r="B897">
        <f>B896+('Rachford-Rice-Solution'!$M$29-'Rachford-Rice-Solution'!$L$29)/999</f>
        <v>1.1317740891731138</v>
      </c>
      <c r="C897" cm="1">
        <f t="array" ref="C897">RR_Eq('Rachford-Rice-Solution'!$B$29,'Rachford-Rice-Solution'!$C$29,'Rachford-Rice-Solution'!$D$29,'Rachford-Rice-Solution'!$E$29,B897)</f>
        <v>-7.0327140456590556</v>
      </c>
    </row>
    <row r="898" spans="1:3" x14ac:dyDescent="0.35">
      <c r="A898">
        <v>896</v>
      </c>
      <c r="B898">
        <f>B897+('Rachford-Rice-Solution'!$M$29-'Rachford-Rice-Solution'!$L$29)/999</f>
        <v>1.133041594324111</v>
      </c>
      <c r="C898" cm="1">
        <f t="array" ref="C898">RR_Eq('Rachford-Rice-Solution'!$B$29,'Rachford-Rice-Solution'!$C$29,'Rachford-Rice-Solution'!$D$29,'Rachford-Rice-Solution'!$E$29,B898)</f>
        <v>-7.1008790169198663</v>
      </c>
    </row>
    <row r="899" spans="1:3" x14ac:dyDescent="0.35">
      <c r="A899">
        <v>897</v>
      </c>
      <c r="B899">
        <f>B898+('Rachford-Rice-Solution'!$M$29-'Rachford-Rice-Solution'!$L$29)/999</f>
        <v>1.1343090994751082</v>
      </c>
      <c r="C899" cm="1">
        <f t="array" ref="C899">RR_Eq('Rachford-Rice-Solution'!$B$29,'Rachford-Rice-Solution'!$C$29,'Rachford-Rice-Solution'!$D$29,'Rachford-Rice-Solution'!$E$29,B899)</f>
        <v>-7.170366356663779</v>
      </c>
    </row>
    <row r="900" spans="1:3" x14ac:dyDescent="0.35">
      <c r="A900">
        <v>898</v>
      </c>
      <c r="B900">
        <f>B899+('Rachford-Rice-Solution'!$M$29-'Rachford-Rice-Solution'!$L$29)/999</f>
        <v>1.1355766046261053</v>
      </c>
      <c r="C900" cm="1">
        <f t="array" ref="C900">RR_Eq('Rachford-Rice-Solution'!$B$29,'Rachford-Rice-Solution'!$C$29,'Rachford-Rice-Solution'!$D$29,'Rachford-Rice-Solution'!$E$29,B900)</f>
        <v>-7.2412149622125224</v>
      </c>
    </row>
    <row r="901" spans="1:3" x14ac:dyDescent="0.35">
      <c r="A901">
        <v>899</v>
      </c>
      <c r="B901">
        <f>B900+('Rachford-Rice-Solution'!$M$29-'Rachford-Rice-Solution'!$L$29)/999</f>
        <v>1.1368441097771025</v>
      </c>
      <c r="C901" cm="1">
        <f t="array" ref="C901">RR_Eq('Rachford-Rice-Solution'!$B$29,'Rachford-Rice-Solution'!$C$29,'Rachford-Rice-Solution'!$D$29,'Rachford-Rice-Solution'!$E$29,B901)</f>
        <v>-7.3134652713572317</v>
      </c>
    </row>
    <row r="902" spans="1:3" x14ac:dyDescent="0.35">
      <c r="A902">
        <v>900</v>
      </c>
      <c r="B902">
        <f>B901+('Rachford-Rice-Solution'!$M$29-'Rachford-Rice-Solution'!$L$29)/999</f>
        <v>1.1381116149280996</v>
      </c>
      <c r="C902" cm="1">
        <f t="array" ref="C902">RR_Eq('Rachford-Rice-Solution'!$B$29,'Rachford-Rice-Solution'!$C$29,'Rachford-Rice-Solution'!$D$29,'Rachford-Rice-Solution'!$E$29,B902)</f>
        <v>-7.3871593393820225</v>
      </c>
    </row>
    <row r="903" spans="1:3" x14ac:dyDescent="0.35">
      <c r="A903">
        <v>901</v>
      </c>
      <c r="B903">
        <f>B902+('Rachford-Rice-Solution'!$M$29-'Rachford-Rice-Solution'!$L$29)/999</f>
        <v>1.1393791200790968</v>
      </c>
      <c r="C903" cm="1">
        <f t="array" ref="C903">RR_Eq('Rachford-Rice-Solution'!$B$29,'Rachford-Rice-Solution'!$C$29,'Rachford-Rice-Solution'!$D$29,'Rachford-Rice-Solution'!$E$29,B903)</f>
        <v>-7.4623409207556701</v>
      </c>
    </row>
    <row r="904" spans="1:3" x14ac:dyDescent="0.35">
      <c r="A904">
        <v>902</v>
      </c>
      <c r="B904">
        <f>B903+('Rachford-Rice-Solution'!$M$29-'Rachford-Rice-Solution'!$L$29)/999</f>
        <v>1.140646625230094</v>
      </c>
      <c r="C904" cm="1">
        <f t="array" ref="C904">RR_Eq('Rachford-Rice-Solution'!$B$29,'Rachford-Rice-Solution'!$C$29,'Rachford-Rice-Solution'!$D$29,'Rachford-Rice-Solution'!$E$29,B904)</f>
        <v>-7.5390555558247732</v>
      </c>
    </row>
    <row r="905" spans="1:3" x14ac:dyDescent="0.35">
      <c r="A905">
        <v>903</v>
      </c>
      <c r="B905">
        <f>B904+('Rachford-Rice-Solution'!$M$29-'Rachford-Rice-Solution'!$L$29)/999</f>
        <v>1.1419141303810911</v>
      </c>
      <c r="C905" cm="1">
        <f t="array" ref="C905">RR_Eq('Rachford-Rice-Solution'!$B$29,'Rachford-Rice-Solution'!$C$29,'Rachford-Rice-Solution'!$D$29,'Rachford-Rice-Solution'!$E$29,B905)</f>
        <v>-7.6173506628694705</v>
      </c>
    </row>
    <row r="906" spans="1:3" x14ac:dyDescent="0.35">
      <c r="A906">
        <v>904</v>
      </c>
      <c r="B906">
        <f>B905+('Rachford-Rice-Solution'!$M$29-'Rachford-Rice-Solution'!$L$29)/999</f>
        <v>1.1431816355320883</v>
      </c>
      <c r="C906" cm="1">
        <f t="array" ref="C906">RR_Eq('Rachford-Rice-Solution'!$B$29,'Rachford-Rice-Solution'!$C$29,'Rachford-Rice-Solution'!$D$29,'Rachford-Rice-Solution'!$E$29,B906)</f>
        <v>-7.6972756359125487</v>
      </c>
    </row>
    <row r="907" spans="1:3" x14ac:dyDescent="0.35">
      <c r="A907">
        <v>905</v>
      </c>
      <c r="B907">
        <f>B906+('Rachford-Rice-Solution'!$M$29-'Rachford-Rice-Solution'!$L$29)/999</f>
        <v>1.1444491406830855</v>
      </c>
      <c r="C907" cm="1">
        <f t="array" ref="C907">RR_Eq('Rachford-Rice-Solution'!$B$29,'Rachford-Rice-Solution'!$C$29,'Rachford-Rice-Solution'!$D$29,'Rachford-Rice-Solution'!$E$29,B907)</f>
        <v>-7.7788819487060152</v>
      </c>
    </row>
    <row r="908" spans="1:3" x14ac:dyDescent="0.35">
      <c r="A908">
        <v>906</v>
      </c>
      <c r="B908">
        <f>B907+('Rachford-Rice-Solution'!$M$29-'Rachford-Rice-Solution'!$L$29)/999</f>
        <v>1.1457166458340826</v>
      </c>
      <c r="C908" cm="1">
        <f t="array" ref="C908">RR_Eq('Rachford-Rice-Solution'!$B$29,'Rachford-Rice-Solution'!$C$29,'Rachford-Rice-Solution'!$D$29,'Rachford-Rice-Solution'!$E$29,B908)</f>
        <v>-7.8622232653550972</v>
      </c>
    </row>
    <row r="909" spans="1:3" x14ac:dyDescent="0.35">
      <c r="A909">
        <v>907</v>
      </c>
      <c r="B909">
        <f>B908+('Rachford-Rice-Solution'!$M$29-'Rachford-Rice-Solution'!$L$29)/999</f>
        <v>1.1469841509850798</v>
      </c>
      <c r="C909" cm="1">
        <f t="array" ref="C909">RR_Eq('Rachford-Rice-Solution'!$B$29,'Rachford-Rice-Solution'!$C$29,'Rachford-Rice-Solution'!$D$29,'Rachford-Rice-Solution'!$E$29,B909)</f>
        <v>-7.947355558079277</v>
      </c>
    </row>
    <row r="910" spans="1:3" x14ac:dyDescent="0.35">
      <c r="A910">
        <v>908</v>
      </c>
      <c r="B910">
        <f>B909+('Rachford-Rice-Solution'!$M$29-'Rachford-Rice-Solution'!$L$29)/999</f>
        <v>1.1482516561360769</v>
      </c>
      <c r="C910" cm="1">
        <f t="array" ref="C910">RR_Eq('Rachford-Rice-Solution'!$B$29,'Rachford-Rice-Solution'!$C$29,'Rachford-Rice-Solution'!$D$29,'Rachford-Rice-Solution'!$E$29,B910)</f>
        <v>-8.0343372326533888</v>
      </c>
    </row>
    <row r="911" spans="1:3" x14ac:dyDescent="0.35">
      <c r="A911">
        <v>909</v>
      </c>
      <c r="B911">
        <f>B910+('Rachford-Rice-Solution'!$M$29-'Rachford-Rice-Solution'!$L$29)/999</f>
        <v>1.1495191612870741</v>
      </c>
      <c r="C911" cm="1">
        <f t="array" ref="C911">RR_Eq('Rachford-Rice-Solution'!$B$29,'Rachford-Rice-Solution'!$C$29,'Rachford-Rice-Solution'!$D$29,'Rachford-Rice-Solution'!$E$29,B911)</f>
        <v>-8.1232292621195583</v>
      </c>
    </row>
    <row r="912" spans="1:3" x14ac:dyDescent="0.35">
      <c r="A912">
        <v>910</v>
      </c>
      <c r="B912">
        <f>B911+('Rachford-Rice-Solution'!$M$29-'Rachford-Rice-Solution'!$L$29)/999</f>
        <v>1.1507866664380713</v>
      </c>
      <c r="C912" cm="1">
        <f t="array" ref="C912">RR_Eq('Rachford-Rice-Solution'!$B$29,'Rachford-Rice-Solution'!$C$29,'Rachford-Rice-Solution'!$D$29,'Rachford-Rice-Solution'!$E$29,B912)</f>
        <v>-8.2140953294132775</v>
      </c>
    </row>
    <row r="913" spans="1:3" x14ac:dyDescent="0.35">
      <c r="A913">
        <v>911</v>
      </c>
      <c r="B913">
        <f>B912+('Rachford-Rice-Solution'!$M$29-'Rachford-Rice-Solution'!$L$29)/999</f>
        <v>1.1520541715890684</v>
      </c>
      <c r="C913" cm="1">
        <f t="array" ref="C913">RR_Eq('Rachford-Rice-Solution'!$B$29,'Rachford-Rice-Solution'!$C$29,'Rachford-Rice-Solution'!$D$29,'Rachford-Rice-Solution'!$E$29,B913)</f>
        <v>-8.3070019796047134</v>
      </c>
    </row>
    <row r="914" spans="1:3" x14ac:dyDescent="0.35">
      <c r="A914">
        <v>912</v>
      </c>
      <c r="B914">
        <f>B913+('Rachford-Rice-Solution'!$M$29-'Rachford-Rice-Solution'!$L$29)/999</f>
        <v>1.1533216767400656</v>
      </c>
      <c r="C914" cm="1">
        <f t="array" ref="C914">RR_Eq('Rachford-Rice-Solution'!$B$29,'Rachford-Rice-Solution'!$C$29,'Rachford-Rice-Solution'!$D$29,'Rachford-Rice-Solution'!$E$29,B914)</f>
        <v>-8.4020187825200985</v>
      </c>
    </row>
    <row r="915" spans="1:3" x14ac:dyDescent="0.35">
      <c r="A915">
        <v>913</v>
      </c>
      <c r="B915">
        <f>B914+('Rachford-Rice-Solution'!$M$29-'Rachford-Rice-Solution'!$L$29)/999</f>
        <v>1.1545891818910627</v>
      </c>
      <c r="C915" cm="1">
        <f t="array" ref="C915">RR_Eq('Rachford-Rice-Solution'!$B$29,'Rachford-Rice-Solution'!$C$29,'Rachford-Rice-Solution'!$D$29,'Rachford-Rice-Solution'!$E$29,B915)</f>
        <v>-8.4992185065784014</v>
      </c>
    </row>
    <row r="916" spans="1:3" x14ac:dyDescent="0.35">
      <c r="A916">
        <v>914</v>
      </c>
      <c r="B916">
        <f>B915+('Rachford-Rice-Solution'!$M$29-'Rachford-Rice-Solution'!$L$29)/999</f>
        <v>1.1558566870420599</v>
      </c>
      <c r="C916" cm="1">
        <f t="array" ref="C916">RR_Eq('Rachford-Rice-Solution'!$B$29,'Rachford-Rice-Solution'!$C$29,'Rachford-Rice-Solution'!$D$29,'Rachford-Rice-Solution'!$E$29,B916)</f>
        <v>-8.5986773047561318</v>
      </c>
    </row>
    <row r="917" spans="1:3" x14ac:dyDescent="0.35">
      <c r="A917">
        <v>915</v>
      </c>
      <c r="B917">
        <f>B916+('Rachford-Rice-Solution'!$M$29-'Rachford-Rice-Solution'!$L$29)/999</f>
        <v>1.1571241921930571</v>
      </c>
      <c r="C917" cm="1">
        <f t="array" ref="C917">RR_Eq('Rachford-Rice-Solution'!$B$29,'Rachford-Rice-Solution'!$C$29,'Rachford-Rice-Solution'!$D$29,'Rachford-Rice-Solution'!$E$29,B917)</f>
        <v>-8.7004749136790753</v>
      </c>
    </row>
    <row r="918" spans="1:3" x14ac:dyDescent="0.35">
      <c r="A918">
        <v>916</v>
      </c>
      <c r="B918">
        <f>B917+('Rachford-Rice-Solution'!$M$29-'Rachford-Rice-Solution'!$L$29)/999</f>
        <v>1.1583916973440542</v>
      </c>
      <c r="C918" cm="1">
        <f t="array" ref="C918">RR_Eq('Rachford-Rice-Solution'!$B$29,'Rachford-Rice-Solution'!$C$29,'Rachford-Rice-Solution'!$D$29,'Rachford-Rice-Solution'!$E$29,B918)</f>
        <v>-8.8046948669348524</v>
      </c>
    </row>
    <row r="919" spans="1:3" x14ac:dyDescent="0.35">
      <c r="A919">
        <v>917</v>
      </c>
      <c r="B919">
        <f>B918+('Rachford-Rice-Solution'!$M$29-'Rachford-Rice-Solution'!$L$29)/999</f>
        <v>1.1596592024950514</v>
      </c>
      <c r="C919" cm="1">
        <f t="array" ref="C919">RR_Eq('Rachford-Rice-Solution'!$B$29,'Rachford-Rice-Solution'!$C$29,'Rachford-Rice-Solution'!$D$29,'Rachford-Rice-Solution'!$E$29,B919)</f>
        <v>-8.9114247238056787</v>
      </c>
    </row>
    <row r="920" spans="1:3" x14ac:dyDescent="0.35">
      <c r="A920">
        <v>918</v>
      </c>
      <c r="B920">
        <f>B919+('Rachford-Rice-Solution'!$M$29-'Rachford-Rice-Solution'!$L$29)/999</f>
        <v>1.1609267076460486</v>
      </c>
      <c r="C920" cm="1">
        <f t="array" ref="C920">RR_Eq('Rachford-Rice-Solution'!$B$29,'Rachford-Rice-Solution'!$C$29,'Rachford-Rice-Solution'!$D$29,'Rachford-Rice-Solution'!$E$29,B920)</f>
        <v>-9.0207563147376586</v>
      </c>
    </row>
    <row r="921" spans="1:3" x14ac:dyDescent="0.35">
      <c r="A921">
        <v>919</v>
      </c>
      <c r="B921">
        <f>B920+('Rachford-Rice-Solution'!$M$29-'Rachford-Rice-Solution'!$L$29)/999</f>
        <v>1.1621942127970457</v>
      </c>
      <c r="C921" cm="1">
        <f t="array" ref="C921">RR_Eq('Rachford-Rice-Solution'!$B$29,'Rachford-Rice-Solution'!$C$29,'Rachford-Rice-Solution'!$D$29,'Rachford-Rice-Solution'!$E$29,B921)</f>
        <v>-9.1327860049929903</v>
      </c>
    </row>
    <row r="922" spans="1:3" x14ac:dyDescent="0.35">
      <c r="A922">
        <v>920</v>
      </c>
      <c r="B922">
        <f>B921+('Rachford-Rice-Solution'!$M$29-'Rachford-Rice-Solution'!$L$29)/999</f>
        <v>1.1634617179480429</v>
      </c>
      <c r="C922" cm="1">
        <f t="array" ref="C922">RR_Eq('Rachford-Rice-Solution'!$B$29,'Rachford-Rice-Solution'!$C$29,'Rachford-Rice-Solution'!$D$29,'Rachford-Rice-Solution'!$E$29,B922)</f>
        <v>-9.2476149780760881</v>
      </c>
    </row>
    <row r="923" spans="1:3" x14ac:dyDescent="0.35">
      <c r="A923">
        <v>921</v>
      </c>
      <c r="B923">
        <f>B922+('Rachford-Rice-Solution'!$M$29-'Rachford-Rice-Solution'!$L$29)/999</f>
        <v>1.16472922309904</v>
      </c>
      <c r="C923" cm="1">
        <f t="array" ref="C923">RR_Eq('Rachford-Rice-Solution'!$B$29,'Rachford-Rice-Solution'!$C$29,'Rachford-Rice-Solution'!$D$29,'Rachford-Rice-Solution'!$E$29,B923)</f>
        <v>-9.3653495406857346</v>
      </c>
    </row>
    <row r="924" spans="1:3" x14ac:dyDescent="0.35">
      <c r="A924">
        <v>922</v>
      </c>
      <c r="B924">
        <f>B923+('Rachford-Rice-Solution'!$M$29-'Rachford-Rice-Solution'!$L$29)/999</f>
        <v>1.1659967282500372</v>
      </c>
      <c r="C924" cm="1">
        <f t="array" ref="C924">RR_Eq('Rachford-Rice-Solution'!$B$29,'Rachford-Rice-Solution'!$C$29,'Rachford-Rice-Solution'!$D$29,'Rachford-Rice-Solution'!$E$29,B924)</f>
        <v>-9.4861014511250943</v>
      </c>
    </row>
    <row r="925" spans="1:3" x14ac:dyDescent="0.35">
      <c r="A925">
        <v>923</v>
      </c>
      <c r="B925">
        <f>B924+('Rachford-Rice-Solution'!$M$29-'Rachford-Rice-Solution'!$L$29)/999</f>
        <v>1.1672642334010344</v>
      </c>
      <c r="C925" cm="1">
        <f t="array" ref="C925">RR_Eq('Rachford-Rice-Solution'!$B$29,'Rachford-Rice-Solution'!$C$29,'Rachford-Rice-Solution'!$D$29,'Rachford-Rice-Solution'!$E$29,B925)</f>
        <v>-9.60998827330212</v>
      </c>
    </row>
    <row r="926" spans="1:3" x14ac:dyDescent="0.35">
      <c r="A926">
        <v>924</v>
      </c>
      <c r="B926">
        <f>B925+('Rachford-Rice-Solution'!$M$29-'Rachford-Rice-Solution'!$L$29)/999</f>
        <v>1.1685317385520315</v>
      </c>
      <c r="C926" cm="1">
        <f t="array" ref="C926">RR_Eq('Rachford-Rice-Solution'!$B$29,'Rachford-Rice-Solution'!$C$29,'Rachford-Rice-Solution'!$D$29,'Rachford-Rice-Solution'!$E$29,B926)</f>
        <v>-9.7371337586773077</v>
      </c>
    </row>
    <row r="927" spans="1:3" x14ac:dyDescent="0.35">
      <c r="A927">
        <v>925</v>
      </c>
      <c r="B927">
        <f>B926+('Rachford-Rice-Solution'!$M$29-'Rachford-Rice-Solution'!$L$29)/999</f>
        <v>1.1697992437030287</v>
      </c>
      <c r="C927" cm="1">
        <f t="array" ref="C927">RR_Eq('Rachford-Rice-Solution'!$B$29,'Rachford-Rice-Solution'!$C$29,'Rachford-Rice-Solution'!$D$29,'Rachford-Rice-Solution'!$E$29,B927)</f>
        <v>-9.8676682587674005</v>
      </c>
    </row>
    <row r="928" spans="1:3" x14ac:dyDescent="0.35">
      <c r="A928">
        <v>926</v>
      </c>
      <c r="B928">
        <f>B927+('Rachford-Rice-Solution'!$M$29-'Rachford-Rice-Solution'!$L$29)/999</f>
        <v>1.1710667488540258</v>
      </c>
      <c r="C928" cm="1">
        <f t="array" ref="C928">RR_Eq('Rachford-Rice-Solution'!$B$29,'Rachford-Rice-Solution'!$C$29,'Rachford-Rice-Solution'!$D$29,'Rachford-Rice-Solution'!$E$29,B928)</f>
        <v>-10.001729171095194</v>
      </c>
    </row>
    <row r="929" spans="1:3" x14ac:dyDescent="0.35">
      <c r="A929">
        <v>927</v>
      </c>
      <c r="B929">
        <f>B928+('Rachford-Rice-Solution'!$M$29-'Rachford-Rice-Solution'!$L$29)/999</f>
        <v>1.172334254005023</v>
      </c>
      <c r="C929" cm="1">
        <f t="array" ref="C929">RR_Eq('Rachford-Rice-Solution'!$B$29,'Rachford-Rice-Solution'!$C$29,'Rachford-Rice-Solution'!$D$29,'Rachford-Rice-Solution'!$E$29,B929)</f>
        <v>-10.139461421792822</v>
      </c>
    </row>
    <row r="930" spans="1:3" x14ac:dyDescent="0.35">
      <c r="A930">
        <v>928</v>
      </c>
      <c r="B930">
        <f>B929+('Rachford-Rice-Solution'!$M$29-'Rachford-Rice-Solution'!$L$29)/999</f>
        <v>1.1736017591560202</v>
      </c>
      <c r="C930" cm="1">
        <f t="array" ref="C930">RR_Eq('Rachford-Rice-Solution'!$B$29,'Rachford-Rice-Solution'!$C$29,'Rachford-Rice-Solution'!$D$29,'Rachford-Rice-Solution'!$E$29,B930)</f>
        <v>-10.281017988421972</v>
      </c>
    </row>
    <row r="931" spans="1:3" x14ac:dyDescent="0.35">
      <c r="A931">
        <v>929</v>
      </c>
      <c r="B931">
        <f>B930+('Rachford-Rice-Solution'!$M$29-'Rachford-Rice-Solution'!$L$29)/999</f>
        <v>1.1748692643070173</v>
      </c>
      <c r="C931" cm="1">
        <f t="array" ref="C931">RR_Eq('Rachford-Rice-Solution'!$B$29,'Rachford-Rice-Solution'!$C$29,'Rachford-Rice-Solution'!$D$29,'Rachford-Rice-Solution'!$E$29,B931)</f>
        <v>-10.426560466976097</v>
      </c>
    </row>
    <row r="932" spans="1:3" x14ac:dyDescent="0.35">
      <c r="A932">
        <v>930</v>
      </c>
      <c r="B932">
        <f>B931+('Rachford-Rice-Solution'!$M$29-'Rachford-Rice-Solution'!$L$29)/999</f>
        <v>1.1761367694580145</v>
      </c>
      <c r="C932" cm="1">
        <f t="array" ref="C932">RR_Eq('Rachford-Rice-Solution'!$B$29,'Rachford-Rice-Solution'!$C$29,'Rachford-Rice-Solution'!$D$29,'Rachford-Rice-Solution'!$E$29,B932)</f>
        <v>-10.576259687482795</v>
      </c>
    </row>
    <row r="933" spans="1:3" x14ac:dyDescent="0.35">
      <c r="A933">
        <v>931</v>
      </c>
      <c r="B933">
        <f>B932+('Rachford-Rice-Solution'!$M$29-'Rachford-Rice-Solution'!$L$29)/999</f>
        <v>1.1774042746090116</v>
      </c>
      <c r="C933" cm="1">
        <f t="array" ref="C933">RR_Eq('Rachford-Rice-Solution'!$B$29,'Rachford-Rice-Solution'!$C$29,'Rachford-Rice-Solution'!$D$29,'Rachford-Rice-Solution'!$E$29,B933)</f>
        <v>-10.730296383136839</v>
      </c>
    </row>
    <row r="934" spans="1:3" x14ac:dyDescent="0.35">
      <c r="A934">
        <v>932</v>
      </c>
      <c r="B934">
        <f>B933+('Rachford-Rice-Solution'!$M$29-'Rachford-Rice-Solution'!$L$29)/999</f>
        <v>1.1786717797600088</v>
      </c>
      <c r="C934" cm="1">
        <f t="array" ref="C934">RR_Eq('Rachford-Rice-Solution'!$B$29,'Rachford-Rice-Solution'!$C$29,'Rachford-Rice-Solution'!$D$29,'Rachford-Rice-Solution'!$E$29,B934)</f>
        <v>-10.888861918474376</v>
      </c>
    </row>
    <row r="935" spans="1:3" x14ac:dyDescent="0.35">
      <c r="A935">
        <v>933</v>
      </c>
      <c r="B935">
        <f>B934+('Rachford-Rice-Solution'!$M$29-'Rachford-Rice-Solution'!$L$29)/999</f>
        <v>1.179939284911006</v>
      </c>
      <c r="C935" cm="1">
        <f t="array" ref="C935">RR_Eq('Rachford-Rice-Solution'!$B$29,'Rachford-Rice-Solution'!$C$29,'Rachford-Rice-Solution'!$D$29,'Rachford-Rice-Solution'!$E$29,B935)</f>
        <v>-11.052159082756722</v>
      </c>
    </row>
    <row r="936" spans="1:3" x14ac:dyDescent="0.35">
      <c r="A936">
        <v>934</v>
      </c>
      <c r="B936">
        <f>B935+('Rachford-Rice-Solution'!$M$29-'Rachford-Rice-Solution'!$L$29)/999</f>
        <v>1.1812067900620031</v>
      </c>
      <c r="C936" cm="1">
        <f t="array" ref="C936">RR_Eq('Rachford-Rice-Solution'!$B$29,'Rachford-Rice-Solution'!$C$29,'Rachford-Rice-Solution'!$D$29,'Rachford-Rice-Solution'!$E$29,B936)</f>
        <v>-11.220402955479969</v>
      </c>
    </row>
    <row r="937" spans="1:3" x14ac:dyDescent="0.35">
      <c r="A937">
        <v>935</v>
      </c>
      <c r="B937">
        <f>B936+('Rachford-Rice-Solution'!$M$29-'Rachford-Rice-Solution'!$L$29)/999</f>
        <v>1.1824742952130003</v>
      </c>
      <c r="C937" cm="1">
        <f t="array" ref="C937">RR_Eq('Rachford-Rice-Solution'!$B$29,'Rachford-Rice-Solution'!$C$29,'Rachford-Rice-Solution'!$D$29,'Rachford-Rice-Solution'!$E$29,B937)</f>
        <v>-11.393821851777801</v>
      </c>
    </row>
    <row r="938" spans="1:3" x14ac:dyDescent="0.35">
      <c r="A938">
        <v>936</v>
      </c>
      <c r="B938">
        <f>B937+('Rachford-Rice-Solution'!$M$29-'Rachford-Rice-Solution'!$L$29)/999</f>
        <v>1.1837418003639975</v>
      </c>
      <c r="C938" cm="1">
        <f t="array" ref="C938">RR_Eq('Rachford-Rice-Solution'!$B$29,'Rachford-Rice-Solution'!$C$29,'Rachford-Rice-Solution'!$D$29,'Rachford-Rice-Solution'!$E$29,B938)</f>
        <v>-11.572658356455799</v>
      </c>
    </row>
    <row r="939" spans="1:3" x14ac:dyDescent="0.35">
      <c r="A939">
        <v>937</v>
      </c>
      <c r="B939">
        <f>B938+('Rachford-Rice-Solution'!$M$29-'Rachford-Rice-Solution'!$L$29)/999</f>
        <v>1.1850093055149946</v>
      </c>
      <c r="C939" cm="1">
        <f t="array" ref="C939">RR_Eq('Rachford-Rice-Solution'!$B$29,'Rachford-Rice-Solution'!$C$29,'Rachford-Rice-Solution'!$D$29,'Rachford-Rice-Solution'!$E$29,B939)</f>
        <v>-11.757170456505216</v>
      </c>
    </row>
    <row r="940" spans="1:3" x14ac:dyDescent="0.35">
      <c r="A940">
        <v>938</v>
      </c>
      <c r="B940">
        <f>B939+('Rachford-Rice-Solution'!$M$29-'Rachford-Rice-Solution'!$L$29)/999</f>
        <v>1.1862768106659918</v>
      </c>
      <c r="C940" cm="1">
        <f t="array" ref="C940">RR_Eq('Rachford-Rice-Solution'!$B$29,'Rachford-Rice-Solution'!$C$29,'Rachford-Rice-Solution'!$D$29,'Rachford-Rice-Solution'!$E$29,B940)</f>
        <v>-11.947632783214861</v>
      </c>
    </row>
    <row r="941" spans="1:3" x14ac:dyDescent="0.35">
      <c r="A941">
        <v>939</v>
      </c>
      <c r="B941">
        <f>B940+('Rachford-Rice-Solution'!$M$29-'Rachford-Rice-Solution'!$L$29)/999</f>
        <v>1.1875443158169889</v>
      </c>
      <c r="C941" cm="1">
        <f t="array" ref="C941">RR_Eq('Rachford-Rice-Solution'!$B$29,'Rachford-Rice-Solution'!$C$29,'Rachford-Rice-Solution'!$D$29,'Rachford-Rice-Solution'!$E$29,B941)</f>
        <v>-12.144337976457908</v>
      </c>
    </row>
    <row r="942" spans="1:3" x14ac:dyDescent="0.35">
      <c r="A942">
        <v>940</v>
      </c>
      <c r="B942">
        <f>B941+('Rachford-Rice-Solution'!$M$29-'Rachford-Rice-Solution'!$L$29)/999</f>
        <v>1.1888118209679861</v>
      </c>
      <c r="C942" cm="1">
        <f t="array" ref="C942">RR_Eq('Rachford-Rice-Solution'!$B$29,'Rachford-Rice-Solution'!$C$29,'Rachford-Rice-Solution'!$D$29,'Rachford-Rice-Solution'!$E$29,B942)</f>
        <v>-12.347598185407405</v>
      </c>
    </row>
    <row r="943" spans="1:3" x14ac:dyDescent="0.35">
      <c r="A943">
        <v>941</v>
      </c>
      <c r="B943">
        <f>B942+('Rachford-Rice-Solution'!$M$29-'Rachford-Rice-Solution'!$L$29)/999</f>
        <v>1.1900793261189833</v>
      </c>
      <c r="C943" cm="1">
        <f t="array" ref="C943">RR_Eq('Rachford-Rice-Solution'!$B$29,'Rachford-Rice-Solution'!$C$29,'Rachford-Rice-Solution'!$D$29,'Rachford-Rice-Solution'!$E$29,B943)</f>
        <v>-12.557746721866886</v>
      </c>
    </row>
    <row r="944" spans="1:3" x14ac:dyDescent="0.35">
      <c r="A944">
        <v>942</v>
      </c>
      <c r="B944">
        <f>B943+('Rachford-Rice-Solution'!$M$29-'Rachford-Rice-Solution'!$L$29)/999</f>
        <v>1.1913468312699804</v>
      </c>
      <c r="C944" cm="1">
        <f t="array" ref="C944">RR_Eq('Rachford-Rice-Solution'!$B$29,'Rachford-Rice-Solution'!$C$29,'Rachford-Rice-Solution'!$D$29,'Rachford-Rice-Solution'!$E$29,B944)</f>
        <v>-12.775139884635237</v>
      </c>
    </row>
    <row r="945" spans="1:3" x14ac:dyDescent="0.35">
      <c r="A945">
        <v>943</v>
      </c>
      <c r="B945">
        <f>B944+('Rachford-Rice-Solution'!$M$29-'Rachford-Rice-Solution'!$L$29)/999</f>
        <v>1.1926143364209776</v>
      </c>
      <c r="C945" cm="1">
        <f t="array" ref="C945">RR_Eq('Rachford-Rice-Solution'!$B$29,'Rachford-Rice-Solution'!$C$29,'Rachford-Rice-Solution'!$D$29,'Rachford-Rice-Solution'!$E$29,B945)</f>
        <v>-13.000158975909901</v>
      </c>
    </row>
    <row r="946" spans="1:3" x14ac:dyDescent="0.35">
      <c r="A946">
        <v>944</v>
      </c>
      <c r="B946">
        <f>B945+('Rachford-Rice-Solution'!$M$29-'Rachford-Rice-Solution'!$L$29)/999</f>
        <v>1.1938818415719747</v>
      </c>
      <c r="C946" cm="1">
        <f t="array" ref="C946">RR_Eq('Rachford-Rice-Solution'!$B$29,'Rachford-Rice-Solution'!$C$29,'Rachford-Rice-Solution'!$D$29,'Rachford-Rice-Solution'!$E$29,B946)</f>
        <v>-13.233212533733342</v>
      </c>
    </row>
    <row r="947" spans="1:3" x14ac:dyDescent="0.35">
      <c r="A947">
        <v>945</v>
      </c>
      <c r="B947">
        <f>B946+('Rachford-Rice-Solution'!$M$29-'Rachford-Rice-Solution'!$L$29)/999</f>
        <v>1.1951493467229719</v>
      </c>
      <c r="C947" cm="1">
        <f t="array" ref="C947">RR_Eq('Rachford-Rice-Solution'!$B$29,'Rachford-Rice-Solution'!$C$29,'Rachford-Rice-Solution'!$D$29,'Rachford-Rice-Solution'!$E$29,B947)</f>
        <v>-13.47473880797912</v>
      </c>
    </row>
    <row r="948" spans="1:3" x14ac:dyDescent="0.35">
      <c r="A948">
        <v>946</v>
      </c>
      <c r="B948">
        <f>B947+('Rachford-Rice-Solution'!$M$29-'Rachford-Rice-Solution'!$L$29)/999</f>
        <v>1.1964168518739691</v>
      </c>
      <c r="C948" cm="1">
        <f t="array" ref="C948">RR_Eq('Rachford-Rice-Solution'!$B$29,'Rachford-Rice-Solution'!$C$29,'Rachford-Rice-Solution'!$D$29,'Rachford-Rice-Solution'!$E$29,B948)</f>
        <v>-13.725208511447383</v>
      </c>
    </row>
    <row r="949" spans="1:3" x14ac:dyDescent="0.35">
      <c r="A949">
        <v>947</v>
      </c>
      <c r="B949">
        <f>B948+('Rachford-Rice-Solution'!$M$29-'Rachford-Rice-Solution'!$L$29)/999</f>
        <v>1.1976843570249662</v>
      </c>
      <c r="C949" cm="1">
        <f t="array" ref="C949">RR_Eq('Rachford-Rice-Solution'!$B$29,'Rachford-Rice-Solution'!$C$29,'Rachford-Rice-Solution'!$D$29,'Rachford-Rice-Solution'!$E$29,B949)</f>
        <v>-13.98512788240544</v>
      </c>
    </row>
    <row r="950" spans="1:3" x14ac:dyDescent="0.35">
      <c r="A950">
        <v>948</v>
      </c>
      <c r="B950">
        <f>B949+('Rachford-Rice-Solution'!$M$29-'Rachford-Rice-Solution'!$L$29)/999</f>
        <v>1.1989518621759634</v>
      </c>
      <c r="C950" cm="1">
        <f t="array" ref="C950">RR_Eq('Rachford-Rice-Solution'!$B$29,'Rachford-Rice-Solution'!$C$29,'Rachford-Rice-Solution'!$D$29,'Rachford-Rice-Solution'!$E$29,B950)</f>
        <v>-14.255042100498088</v>
      </c>
    </row>
    <row r="951" spans="1:3" x14ac:dyDescent="0.35">
      <c r="A951">
        <v>949</v>
      </c>
      <c r="B951">
        <f>B950+('Rachford-Rice-Solution'!$M$29-'Rachford-Rice-Solution'!$L$29)/999</f>
        <v>1.2002193673269606</v>
      </c>
      <c r="C951" cm="1">
        <f t="array" ref="C951">RR_Eq('Rachford-Rice-Solution'!$B$29,'Rachford-Rice-Solution'!$C$29,'Rachford-Rice-Solution'!$D$29,'Rachford-Rice-Solution'!$E$29,B951)</f>
        <v>-14.535539104529901</v>
      </c>
    </row>
    <row r="952" spans="1:3" x14ac:dyDescent="0.35">
      <c r="A952">
        <v>950</v>
      </c>
      <c r="B952">
        <f>B951+('Rachford-Rice-Solution'!$M$29-'Rachford-Rice-Solution'!$L$29)/999</f>
        <v>1.2014868724779577</v>
      </c>
      <c r="C952" cm="1">
        <f t="array" ref="C952">RR_Eq('Rachford-Rice-Solution'!$B$29,'Rachford-Rice-Solution'!$C$29,'Rachford-Rice-Solution'!$D$29,'Rachford-Rice-Solution'!$E$29,B952)</f>
        <v>-14.827253868381355</v>
      </c>
    </row>
    <row r="953" spans="1:3" x14ac:dyDescent="0.35">
      <c r="A953">
        <v>951</v>
      </c>
      <c r="B953">
        <f>B952+('Rachford-Rice-Solution'!$M$29-'Rachford-Rice-Solution'!$L$29)/999</f>
        <v>1.2027543776289549</v>
      </c>
      <c r="C953" cm="1">
        <f t="array" ref="C953">RR_Eq('Rachford-Rice-Solution'!$B$29,'Rachford-Rice-Solution'!$C$29,'Rachford-Rice-Solution'!$D$29,'Rachford-Rice-Solution'!$E$29,B953)</f>
        <v>-15.130873200506528</v>
      </c>
    </row>
    <row r="954" spans="1:3" x14ac:dyDescent="0.35">
      <c r="A954">
        <v>952</v>
      </c>
      <c r="B954">
        <f>B953+('Rachford-Rice-Solution'!$M$29-'Rachford-Rice-Solution'!$L$29)/999</f>
        <v>1.204021882779952</v>
      </c>
      <c r="C954" cm="1">
        <f t="array" ref="C954">RR_Eq('Rachford-Rice-Solution'!$B$29,'Rachford-Rice-Solution'!$C$29,'Rachford-Rice-Solution'!$D$29,'Rachford-Rice-Solution'!$E$29,B954)</f>
        <v>-15.447141143367999</v>
      </c>
    </row>
    <row r="955" spans="1:3" x14ac:dyDescent="0.35">
      <c r="A955">
        <v>953</v>
      </c>
      <c r="B955">
        <f>B954+('Rachford-Rice-Solution'!$M$29-'Rachford-Rice-Solution'!$L$29)/999</f>
        <v>1.2052893879309492</v>
      </c>
      <c r="C955" cm="1">
        <f t="array" ref="C955">RR_Eq('Rachford-Rice-Solution'!$B$29,'Rachford-Rice-Solution'!$C$29,'Rachford-Rice-Solution'!$D$29,'Rachford-Rice-Solution'!$E$29,B955)</f>
        <v>-15.77686506216131</v>
      </c>
    </row>
    <row r="956" spans="1:3" x14ac:dyDescent="0.35">
      <c r="A956">
        <v>954</v>
      </c>
      <c r="B956">
        <f>B955+('Rachford-Rice-Solution'!$M$29-'Rachford-Rice-Solution'!$L$29)/999</f>
        <v>1.2065568930819464</v>
      </c>
      <c r="C956" cm="1">
        <f t="array" ref="C956">RR_Eq('Rachford-Rice-Solution'!$B$29,'Rachford-Rice-Solution'!$C$29,'Rachford-Rice-Solution'!$D$29,'Rachford-Rice-Solution'!$E$29,B956)</f>
        <v>-16.1209225277209</v>
      </c>
    </row>
    <row r="957" spans="1:3" x14ac:dyDescent="0.35">
      <c r="A957">
        <v>955</v>
      </c>
      <c r="B957">
        <f>B956+('Rachford-Rice-Solution'!$M$29-'Rachford-Rice-Solution'!$L$29)/999</f>
        <v>1.2078243982329435</v>
      </c>
      <c r="C957" cm="1">
        <f t="array" ref="C957">RR_Eq('Rachford-Rice-Solution'!$B$29,'Rachford-Rice-Solution'!$C$29,'Rachford-Rice-Solution'!$D$29,'Rachford-Rice-Solution'!$E$29,B957)</f>
        <v>-16.480269117146797</v>
      </c>
    </row>
    <row r="958" spans="1:3" x14ac:dyDescent="0.35">
      <c r="A958">
        <v>956</v>
      </c>
      <c r="B958">
        <f>B957+('Rachford-Rice-Solution'!$M$29-'Rachford-Rice-Solution'!$L$29)/999</f>
        <v>1.2090919033839407</v>
      </c>
      <c r="C958" cm="1">
        <f t="array" ref="C958">RR_Eq('Rachford-Rice-Solution'!$B$29,'Rachford-Rice-Solution'!$C$29,'Rachford-Rice-Solution'!$D$29,'Rachford-Rice-Solution'!$E$29,B958)</f>
        <v>-16.855947278153142</v>
      </c>
    </row>
    <row r="959" spans="1:3" x14ac:dyDescent="0.35">
      <c r="A959">
        <v>957</v>
      </c>
      <c r="B959">
        <f>B958+('Rachford-Rice-Solution'!$M$29-'Rachford-Rice-Solution'!$L$29)/999</f>
        <v>1.2103594085349378</v>
      </c>
      <c r="C959" cm="1">
        <f t="array" ref="C959">RR_Eq('Rachford-Rice-Solution'!$B$29,'Rachford-Rice-Solution'!$C$29,'Rachford-Rice-Solution'!$D$29,'Rachford-Rice-Solution'!$E$29,B959)</f>
        <v>-17.249096430302561</v>
      </c>
    </row>
    <row r="960" spans="1:3" x14ac:dyDescent="0.35">
      <c r="A960">
        <v>958</v>
      </c>
      <c r="B960">
        <f>B959+('Rachford-Rice-Solution'!$M$29-'Rachford-Rice-Solution'!$L$29)/999</f>
        <v>1.211626913685935</v>
      </c>
      <c r="C960" cm="1">
        <f t="array" ref="C960">RR_Eq('Rachford-Rice-Solution'!$B$29,'Rachford-Rice-Solution'!$C$29,'Rachford-Rice-Solution'!$D$29,'Rachford-Rice-Solution'!$E$29,B960)</f>
        <v>-17.660964509274027</v>
      </c>
    </row>
    <row r="961" spans="1:3" x14ac:dyDescent="0.35">
      <c r="A961">
        <v>959</v>
      </c>
      <c r="B961">
        <f>B960+('Rachford-Rice-Solution'!$M$29-'Rachford-Rice-Solution'!$L$29)/999</f>
        <v>1.2128944188369322</v>
      </c>
      <c r="C961" cm="1">
        <f t="array" ref="C961">RR_Eq('Rachford-Rice-Solution'!$B$29,'Rachford-Rice-Solution'!$C$29,'Rachford-Rice-Solution'!$D$29,'Rachford-Rice-Solution'!$E$29,B961)</f>
        <v>-18.092921200535738</v>
      </c>
    </row>
    <row r="962" spans="1:3" x14ac:dyDescent="0.35">
      <c r="A962">
        <v>960</v>
      </c>
      <c r="B962">
        <f>B961+('Rachford-Rice-Solution'!$M$29-'Rachford-Rice-Solution'!$L$29)/999</f>
        <v>1.2141619239879293</v>
      </c>
      <c r="C962" cm="1">
        <f t="array" ref="C962">RR_Eq('Rachford-Rice-Solution'!$B$29,'Rachford-Rice-Solution'!$C$29,'Rachford-Rice-Solution'!$D$29,'Rachford-Rice-Solution'!$E$29,B962)</f>
        <v>-18.546473158068949</v>
      </c>
    </row>
    <row r="963" spans="1:3" x14ac:dyDescent="0.35">
      <c r="A963">
        <v>961</v>
      </c>
      <c r="B963">
        <f>B962+('Rachford-Rice-Solution'!$M$29-'Rachford-Rice-Solution'!$L$29)/999</f>
        <v>1.2154294291389265</v>
      </c>
      <c r="C963" cm="1">
        <f t="array" ref="C963">RR_Eq('Rachford-Rice-Solution'!$B$29,'Rachford-Rice-Solution'!$C$29,'Rachford-Rice-Solution'!$D$29,'Rachford-Rice-Solution'!$E$29,B963)</f>
        <v>-19.023281564433947</v>
      </c>
    </row>
    <row r="964" spans="1:3" x14ac:dyDescent="0.35">
      <c r="A964">
        <v>962</v>
      </c>
      <c r="B964">
        <f>B963+('Rachford-Rice-Solution'!$M$29-'Rachford-Rice-Solution'!$L$29)/999</f>
        <v>1.2166969342899236</v>
      </c>
      <c r="C964" cm="1">
        <f t="array" ref="C964">RR_Eq('Rachford-Rice-Solution'!$B$29,'Rachford-Rice-Solution'!$C$29,'Rachford-Rice-Solution'!$D$29,'Rachford-Rice-Solution'!$E$29,B964)</f>
        <v>-19.525182463477975</v>
      </c>
    </row>
    <row r="965" spans="1:3" x14ac:dyDescent="0.35">
      <c r="A965">
        <v>963</v>
      </c>
      <c r="B965">
        <f>B964+('Rachford-Rice-Solution'!$M$29-'Rachford-Rice-Solution'!$L$29)/999</f>
        <v>1.2179644394409208</v>
      </c>
      <c r="C965" cm="1">
        <f t="array" ref="C965">RR_Eq('Rachford-Rice-Solution'!$B$29,'Rachford-Rice-Solution'!$C$29,'Rachford-Rice-Solution'!$D$29,'Rachford-Rice-Solution'!$E$29,B965)</f>
        <v>-20.054210390239092</v>
      </c>
    </row>
    <row r="966" spans="1:3" x14ac:dyDescent="0.35">
      <c r="A966">
        <v>964</v>
      </c>
      <c r="B966">
        <f>B965+('Rachford-Rice-Solution'!$M$29-'Rachford-Rice-Solution'!$L$29)/999</f>
        <v>1.219231944591918</v>
      </c>
      <c r="C966" cm="1">
        <f t="array" ref="C966">RR_Eq('Rachford-Rice-Solution'!$B$29,'Rachford-Rice-Solution'!$C$29,'Rachford-Rice-Solution'!$D$29,'Rachford-Rice-Solution'!$E$29,B966)</f>
        <v>-20.612625939167287</v>
      </c>
    </row>
    <row r="967" spans="1:3" x14ac:dyDescent="0.35">
      <c r="A967">
        <v>965</v>
      </c>
      <c r="B967">
        <f>B966+('Rachford-Rice-Solution'!$M$29-'Rachford-Rice-Solution'!$L$29)/999</f>
        <v>1.2204994497429151</v>
      </c>
      <c r="C967" cm="1">
        <f t="array" ref="C967">RR_Eq('Rachford-Rice-Solution'!$B$29,'Rachford-Rice-Solution'!$C$29,'Rachford-Rice-Solution'!$D$29,'Rachford-Rice-Solution'!$E$29,B967)</f>
        <v>-21.202948058326392</v>
      </c>
    </row>
    <row r="968" spans="1:3" x14ac:dyDescent="0.35">
      <c r="A968">
        <v>966</v>
      </c>
      <c r="B968">
        <f>B967+('Rachford-Rice-Solution'!$M$29-'Rachford-Rice-Solution'!$L$29)/999</f>
        <v>1.2217669548939123</v>
      </c>
      <c r="C968" cm="1">
        <f t="array" ref="C968">RR_Eq('Rachford-Rice-Solution'!$B$29,'Rachford-Rice-Solution'!$C$29,'Rachford-Rice-Solution'!$D$29,'Rachford-Rice-Solution'!$E$29,B968)</f>
        <v>-21.827992042572788</v>
      </c>
    </row>
    <row r="969" spans="1:3" x14ac:dyDescent="0.35">
      <c r="A969">
        <v>967</v>
      </c>
      <c r="B969">
        <f>B968+('Rachford-Rice-Solution'!$M$29-'Rachford-Rice-Solution'!$L$29)/999</f>
        <v>1.2230344600449095</v>
      </c>
      <c r="C969" cm="1">
        <f t="array" ref="C969">RR_Eq('Rachford-Rice-Solution'!$B$29,'Rachford-Rice-Solution'!$C$29,'Rachford-Rice-Solution'!$D$29,'Rachford-Rice-Solution'!$E$29,B969)</f>
        <v>-22.490914434584777</v>
      </c>
    </row>
    <row r="970" spans="1:3" x14ac:dyDescent="0.35">
      <c r="A970">
        <v>968</v>
      </c>
      <c r="B970">
        <f>B969+('Rachford-Rice-Solution'!$M$29-'Rachford-Rice-Solution'!$L$29)/999</f>
        <v>1.2243019651959066</v>
      </c>
      <c r="C970" cm="1">
        <f t="array" ref="C970">RR_Eq('Rachford-Rice-Solution'!$B$29,'Rachford-Rice-Solution'!$C$29,'Rachford-Rice-Solution'!$D$29,'Rachford-Rice-Solution'!$E$29,B970)</f>
        <v>-23.195266344835055</v>
      </c>
    </row>
    <row r="971" spans="1:3" x14ac:dyDescent="0.35">
      <c r="A971">
        <v>969</v>
      </c>
      <c r="B971">
        <f>B970+('Rachford-Rice-Solution'!$M$29-'Rachford-Rice-Solution'!$L$29)/999</f>
        <v>1.2255694703469038</v>
      </c>
      <c r="C971" cm="1">
        <f t="array" ref="C971">RR_Eq('Rachford-Rice-Solution'!$B$29,'Rachford-Rice-Solution'!$C$29,'Rachford-Rice-Solution'!$D$29,'Rachford-Rice-Solution'!$E$29,B971)</f>
        <v>-23.945057091557434</v>
      </c>
    </row>
    <row r="972" spans="1:3" x14ac:dyDescent="0.35">
      <c r="A972">
        <v>970</v>
      </c>
      <c r="B972">
        <f>B971+('Rachford-Rice-Solution'!$M$29-'Rachford-Rice-Solution'!$L$29)/999</f>
        <v>1.2268369754979009</v>
      </c>
      <c r="C972" cm="1">
        <f t="array" ref="C972">RR_Eq('Rachford-Rice-Solution'!$B$29,'Rachford-Rice-Solution'!$C$29,'Rachford-Rice-Solution'!$D$29,'Rachford-Rice-Solution'!$E$29,B972)</f>
        <v>-24.744830568707762</v>
      </c>
    </row>
    <row r="973" spans="1:3" x14ac:dyDescent="0.35">
      <c r="A973">
        <v>971</v>
      </c>
      <c r="B973">
        <f>B972+('Rachford-Rice-Solution'!$M$29-'Rachford-Rice-Solution'!$L$29)/999</f>
        <v>1.2281044806488981</v>
      </c>
      <c r="C973" cm="1">
        <f t="array" ref="C973">RR_Eq('Rachford-Rice-Solution'!$B$29,'Rachford-Rice-Solution'!$C$29,'Rachford-Rice-Solution'!$D$29,'Rachford-Rice-Solution'!$E$29,B973)</f>
        <v>-25.599757414191728</v>
      </c>
    </row>
    <row r="974" spans="1:3" x14ac:dyDescent="0.35">
      <c r="A974">
        <v>972</v>
      </c>
      <c r="B974">
        <f>B973+('Rachford-Rice-Solution'!$M$29-'Rachford-Rice-Solution'!$L$29)/999</f>
        <v>1.2293719857998953</v>
      </c>
      <c r="C974" cm="1">
        <f t="array" ref="C974">RR_Eq('Rachford-Rice-Solution'!$B$29,'Rachford-Rice-Solution'!$C$29,'Rachford-Rice-Solution'!$D$29,'Rachford-Rice-Solution'!$E$29,B974)</f>
        <v>-26.515746928427671</v>
      </c>
    </row>
    <row r="975" spans="1:3" x14ac:dyDescent="0.35">
      <c r="A975">
        <v>973</v>
      </c>
      <c r="B975">
        <f>B974+('Rachford-Rice-Solution'!$M$29-'Rachford-Rice-Solution'!$L$29)/999</f>
        <v>1.2306394909508924</v>
      </c>
      <c r="C975" cm="1">
        <f t="array" ref="C975">RR_Eq('Rachford-Rice-Solution'!$B$29,'Rachford-Rice-Solution'!$C$29,'Rachford-Rice-Solution'!$D$29,'Rachford-Rice-Solution'!$E$29,B975)</f>
        <v>-27.499583863700995</v>
      </c>
    </row>
    <row r="976" spans="1:3" x14ac:dyDescent="0.35">
      <c r="A976">
        <v>974</v>
      </c>
      <c r="B976">
        <f>B975+('Rachford-Rice-Solution'!$M$29-'Rachford-Rice-Solution'!$L$29)/999</f>
        <v>1.2319069961018896</v>
      </c>
      <c r="C976" cm="1">
        <f t="array" ref="C976">RR_Eq('Rachford-Rice-Solution'!$B$29,'Rachford-Rice-Solution'!$C$29,'Rachford-Rice-Solution'!$D$29,'Rachford-Rice-Solution'!$E$29,B976)</f>
        <v>-28.559096780292741</v>
      </c>
    </row>
    <row r="977" spans="1:3" x14ac:dyDescent="0.35">
      <c r="A977">
        <v>975</v>
      </c>
      <c r="B977">
        <f>B976+('Rachford-Rice-Solution'!$M$29-'Rachford-Rice-Solution'!$L$29)/999</f>
        <v>1.2331745012528867</v>
      </c>
      <c r="C977" cm="1">
        <f t="array" ref="C977">RR_Eq('Rachford-Rice-Solution'!$B$29,'Rachford-Rice-Solution'!$C$29,'Rachford-Rice-Solution'!$D$29,'Rachford-Rice-Solution'!$E$29,B977)</f>
        <v>-29.703366808078929</v>
      </c>
    </row>
    <row r="978" spans="1:3" x14ac:dyDescent="0.35">
      <c r="A978">
        <v>976</v>
      </c>
      <c r="B978">
        <f>B977+('Rachford-Rice-Solution'!$M$29-'Rachford-Rice-Solution'!$L$29)/999</f>
        <v>1.2344420064038839</v>
      </c>
      <c r="C978" cm="1">
        <f t="array" ref="C978">RR_Eq('Rachford-Rice-Solution'!$B$29,'Rachford-Rice-Solution'!$C$29,'Rachford-Rice-Solution'!$D$29,'Rachford-Rice-Solution'!$E$29,B978)</f>
        <v>-30.942988598529791</v>
      </c>
    </row>
    <row r="979" spans="1:3" x14ac:dyDescent="0.35">
      <c r="A979">
        <v>977</v>
      </c>
      <c r="B979">
        <f>B978+('Rachford-Rice-Solution'!$M$29-'Rachford-Rice-Solution'!$L$29)/999</f>
        <v>1.2357095115548811</v>
      </c>
      <c r="C979" cm="1">
        <f t="array" ref="C979">RR_Eq('Rachford-Rice-Solution'!$B$29,'Rachford-Rice-Solution'!$C$29,'Rachford-Rice-Solution'!$D$29,'Rachford-Rice-Solution'!$E$29,B979)</f>
        <v>-32.290399351143591</v>
      </c>
    </row>
    <row r="980" spans="1:3" x14ac:dyDescent="0.35">
      <c r="A980">
        <v>978</v>
      </c>
      <c r="B980">
        <f>B979+('Rachford-Rice-Solution'!$M$29-'Rachford-Rice-Solution'!$L$29)/999</f>
        <v>1.2369770167058782</v>
      </c>
      <c r="C980" cm="1">
        <f t="array" ref="C980">RR_Eq('Rachford-Rice-Solution'!$B$29,'Rachford-Rice-Solution'!$C$29,'Rachford-Rice-Solution'!$D$29,'Rachford-Rice-Solution'!$E$29,B980)</f>
        <v>-33.760297574362355</v>
      </c>
    </row>
    <row r="981" spans="1:3" x14ac:dyDescent="0.35">
      <c r="A981">
        <v>979</v>
      </c>
      <c r="B981">
        <f>B980+('Rachford-Rice-Solution'!$M$29-'Rachford-Rice-Solution'!$L$29)/999</f>
        <v>1.2382445218568754</v>
      </c>
      <c r="C981" cm="1">
        <f t="array" ref="C981">RR_Eq('Rachford-Rice-Solution'!$B$29,'Rachford-Rice-Solution'!$C$29,'Rachford-Rice-Solution'!$D$29,'Rachford-Rice-Solution'!$E$29,B981)</f>
        <v>-35.370181492463551</v>
      </c>
    </row>
    <row r="982" spans="1:3" x14ac:dyDescent="0.35">
      <c r="A982">
        <v>980</v>
      </c>
      <c r="B982">
        <f>B981+('Rachford-Rice-Solution'!$M$29-'Rachford-Rice-Solution'!$L$29)/999</f>
        <v>1.2395120270078726</v>
      </c>
      <c r="C982" cm="1">
        <f t="array" ref="C982">RR_Eq('Rachford-Rice-Solution'!$B$29,'Rachford-Rice-Solution'!$C$29,'Rachford-Rice-Solution'!$D$29,'Rachford-Rice-Solution'!$E$29,B982)</f>
        <v>-37.141048974519244</v>
      </c>
    </row>
    <row r="983" spans="1:3" x14ac:dyDescent="0.35">
      <c r="A983">
        <v>981</v>
      </c>
      <c r="B983">
        <f>B982+('Rachford-Rice-Solution'!$M$29-'Rachford-Rice-Solution'!$L$29)/999</f>
        <v>1.2407795321588697</v>
      </c>
      <c r="C983" cm="1">
        <f t="array" ref="C983">RR_Eq('Rachford-Rice-Solution'!$B$29,'Rachford-Rice-Solution'!$C$29,'Rachford-Rice-Solution'!$D$29,'Rachford-Rice-Solution'!$E$29,B983)</f>
        <v>-39.098318493552938</v>
      </c>
    </row>
    <row r="984" spans="1:3" x14ac:dyDescent="0.35">
      <c r="A984">
        <v>982</v>
      </c>
      <c r="B984">
        <f>B983+('Rachford-Rice-Solution'!$M$29-'Rachford-Rice-Solution'!$L$29)/999</f>
        <v>1.2420470373098669</v>
      </c>
      <c r="C984" cm="1">
        <f t="array" ref="C984">RR_Eq('Rachford-Rice-Solution'!$B$29,'Rachford-Rice-Solution'!$C$29,'Rachford-Rice-Solution'!$D$29,'Rachford-Rice-Solution'!$E$29,B984)</f>
        <v>-41.273057072081919</v>
      </c>
    </row>
    <row r="985" spans="1:3" x14ac:dyDescent="0.35">
      <c r="A985">
        <v>983</v>
      </c>
      <c r="B985">
        <f>B984+('Rachford-Rice-Solution'!$M$29-'Rachford-Rice-Solution'!$L$29)/999</f>
        <v>1.243314542460864</v>
      </c>
      <c r="C985" cm="1">
        <f t="array" ref="C985">RR_Eq('Rachford-Rice-Solution'!$B$29,'Rachford-Rice-Solution'!$C$29,'Rachford-Rice-Solution'!$D$29,'Rachford-Rice-Solution'!$E$29,B985)</f>
        <v>-43.703641620204095</v>
      </c>
    </row>
    <row r="986" spans="1:3" x14ac:dyDescent="0.35">
      <c r="A986">
        <v>984</v>
      </c>
      <c r="B986">
        <f>B985+('Rachford-Rice-Solution'!$M$29-'Rachford-Rice-Solution'!$L$29)/999</f>
        <v>1.2445820476118612</v>
      </c>
      <c r="C986" cm="1">
        <f t="array" ref="C986">RR_Eq('Rachford-Rice-Solution'!$B$29,'Rachford-Rice-Solution'!$C$29,'Rachford-Rice-Solution'!$D$29,'Rachford-Rice-Solution'!$E$29,B986)</f>
        <v>-46.438043275467251</v>
      </c>
    </row>
    <row r="987" spans="1:3" x14ac:dyDescent="0.35">
      <c r="A987">
        <v>985</v>
      </c>
      <c r="B987">
        <f>B986+('Rachford-Rice-Solution'!$M$29-'Rachford-Rice-Solution'!$L$29)/999</f>
        <v>1.2458495527628584</v>
      </c>
      <c r="C987" cm="1">
        <f t="array" ref="C987">RR_Eq('Rachford-Rice-Solution'!$B$29,'Rachford-Rice-Solution'!$C$29,'Rachford-Rice-Solution'!$D$29,'Rachford-Rice-Solution'!$E$29,B987)</f>
        <v>-49.537025478686139</v>
      </c>
    </row>
    <row r="988" spans="1:3" x14ac:dyDescent="0.35">
      <c r="A988">
        <v>986</v>
      </c>
      <c r="B988">
        <f>B987+('Rachford-Rice-Solution'!$M$29-'Rachford-Rice-Solution'!$L$29)/999</f>
        <v>1.2471170579138555</v>
      </c>
      <c r="C988" cm="1">
        <f t="array" ref="C988">RR_Eq('Rachford-Rice-Solution'!$B$29,'Rachford-Rice-Solution'!$C$29,'Rachford-Rice-Solution'!$D$29,'Rachford-Rice-Solution'!$E$29,B988)</f>
        <v>-53.078712653681073</v>
      </c>
    </row>
    <row r="989" spans="1:3" x14ac:dyDescent="0.35">
      <c r="A989">
        <v>987</v>
      </c>
      <c r="B989">
        <f>B988+('Rachford-Rice-Solution'!$M$29-'Rachford-Rice-Solution'!$L$29)/999</f>
        <v>1.2483845630648527</v>
      </c>
      <c r="C989" cm="1">
        <f t="array" ref="C989">RR_Eq('Rachford-Rice-Solution'!$B$29,'Rachford-Rice-Solution'!$C$29,'Rachford-Rice-Solution'!$D$29,'Rachford-Rice-Solution'!$E$29,B989)</f>
        <v>-57.165267508434368</v>
      </c>
    </row>
    <row r="990" spans="1:3" x14ac:dyDescent="0.35">
      <c r="A990">
        <v>988</v>
      </c>
      <c r="B990">
        <f>B989+('Rachford-Rice-Solution'!$M$29-'Rachford-Rice-Solution'!$L$29)/999</f>
        <v>1.2496520682158498</v>
      </c>
      <c r="C990" cm="1">
        <f t="array" ref="C990">RR_Eq('Rachford-Rice-Solution'!$B$29,'Rachford-Rice-Solution'!$C$29,'Rachford-Rice-Solution'!$D$29,'Rachford-Rice-Solution'!$E$29,B990)</f>
        <v>-61.932906986824996</v>
      </c>
    </row>
    <row r="991" spans="1:3" x14ac:dyDescent="0.35">
      <c r="A991">
        <v>989</v>
      </c>
      <c r="B991">
        <f>B990+('Rachford-Rice-Solution'!$M$29-'Rachford-Rice-Solution'!$L$29)/999</f>
        <v>1.250919573366847</v>
      </c>
      <c r="C991" cm="1">
        <f t="array" ref="C991">RR_Eq('Rachford-Rice-Solution'!$B$29,'Rachford-Rice-Solution'!$C$29,'Rachford-Rice-Solution'!$D$29,'Rachford-Rice-Solution'!$E$29,B991)</f>
        <v>-67.56738146676399</v>
      </c>
    </row>
    <row r="992" spans="1:3" x14ac:dyDescent="0.35">
      <c r="A992">
        <v>990</v>
      </c>
      <c r="B992">
        <f>B991+('Rachford-Rice-Solution'!$M$29-'Rachford-Rice-Solution'!$L$29)/999</f>
        <v>1.2521870785178442</v>
      </c>
      <c r="C992" cm="1">
        <f t="array" ref="C992">RR_Eq('Rachford-Rice-Solution'!$B$29,'Rachford-Rice-Solution'!$C$29,'Rachford-Rice-Solution'!$D$29,'Rachford-Rice-Solution'!$E$29,B992)</f>
        <v>-74.328741477211835</v>
      </c>
    </row>
    <row r="993" spans="1:3" x14ac:dyDescent="0.35">
      <c r="A993">
        <v>991</v>
      </c>
      <c r="B993">
        <f>B992+('Rachford-Rice-Solution'!$M$29-'Rachford-Rice-Solution'!$L$29)/999</f>
        <v>1.2534545836688413</v>
      </c>
      <c r="C993" cm="1">
        <f t="array" ref="C993">RR_Eq('Rachford-Rice-Solution'!$B$29,'Rachford-Rice-Solution'!$C$29,'Rachford-Rice-Solution'!$D$29,'Rachford-Rice-Solution'!$E$29,B993)</f>
        <v>-82.5926155598696</v>
      </c>
    </row>
    <row r="994" spans="1:3" x14ac:dyDescent="0.35">
      <c r="A994">
        <v>992</v>
      </c>
      <c r="B994">
        <f>B993+('Rachford-Rice-Solution'!$M$29-'Rachford-Rice-Solution'!$L$29)/999</f>
        <v>1.2547220888198385</v>
      </c>
      <c r="C994" cm="1">
        <f t="array" ref="C994">RR_Eq('Rachford-Rice-Solution'!$B$29,'Rachford-Rice-Solution'!$C$29,'Rachford-Rice-Solution'!$D$29,'Rachford-Rice-Solution'!$E$29,B994)</f>
        <v>-92.92244652714848</v>
      </c>
    </row>
    <row r="995" spans="1:3" x14ac:dyDescent="0.35">
      <c r="A995">
        <v>993</v>
      </c>
      <c r="B995">
        <f>B994+('Rachford-Rice-Solution'!$M$29-'Rachford-Rice-Solution'!$L$29)/999</f>
        <v>1.2559895939708356</v>
      </c>
      <c r="C995" cm="1">
        <f t="array" ref="C995">RR_Eq('Rachford-Rice-Solution'!$B$29,'Rachford-Rice-Solution'!$C$29,'Rachford-Rice-Solution'!$D$29,'Rachford-Rice-Solution'!$E$29,B995)</f>
        <v>-106.20364451267307</v>
      </c>
    </row>
    <row r="996" spans="1:3" x14ac:dyDescent="0.35">
      <c r="A996">
        <v>994</v>
      </c>
      <c r="B996">
        <f>B995+('Rachford-Rice-Solution'!$M$29-'Rachford-Rice-Solution'!$L$29)/999</f>
        <v>1.2572570991218328</v>
      </c>
      <c r="C996" cm="1">
        <f t="array" ref="C996">RR_Eq('Rachford-Rice-Solution'!$B$29,'Rachford-Rice-Solution'!$C$29,'Rachford-Rice-Solution'!$D$29,'Rachford-Rice-Solution'!$E$29,B996)</f>
        <v>-123.91189307229462</v>
      </c>
    </row>
    <row r="997" spans="1:3" x14ac:dyDescent="0.35">
      <c r="A997">
        <v>995</v>
      </c>
      <c r="B997">
        <f>B996+('Rachford-Rice-Solution'!$M$29-'Rachford-Rice-Solution'!$L$29)/999</f>
        <v>1.25852460427283</v>
      </c>
      <c r="C997" cm="1">
        <f t="array" ref="C997">RR_Eq('Rachford-Rice-Solution'!$B$29,'Rachford-Rice-Solution'!$C$29,'Rachford-Rice-Solution'!$D$29,'Rachford-Rice-Solution'!$E$29,B997)</f>
        <v>-148.70342260631753</v>
      </c>
    </row>
    <row r="998" spans="1:3" x14ac:dyDescent="0.35">
      <c r="A998">
        <v>996</v>
      </c>
      <c r="B998">
        <f>B997+('Rachford-Rice-Solution'!$M$29-'Rachford-Rice-Solution'!$L$29)/999</f>
        <v>1.2597921094238271</v>
      </c>
      <c r="C998" cm="1">
        <f t="array" ref="C998">RR_Eq('Rachford-Rice-Solution'!$B$29,'Rachford-Rice-Solution'!$C$29,'Rachford-Rice-Solution'!$D$29,'Rachford-Rice-Solution'!$E$29,B998)</f>
        <v>-185.89069391506413</v>
      </c>
    </row>
    <row r="999" spans="1:3" x14ac:dyDescent="0.35">
      <c r="A999">
        <v>997</v>
      </c>
      <c r="B999">
        <f>B998+('Rachford-Rice-Solution'!$M$29-'Rachford-Rice-Solution'!$L$29)/999</f>
        <v>1.2610596145748243</v>
      </c>
      <c r="C999" cm="1">
        <f t="array" ref="C999">RR_Eq('Rachford-Rice-Solution'!$B$29,'Rachford-Rice-Solution'!$C$29,'Rachford-Rice-Solution'!$D$29,'Rachford-Rice-Solution'!$E$29,B999)</f>
        <v>-247.86944886555983</v>
      </c>
    </row>
    <row r="1000" spans="1:3" x14ac:dyDescent="0.35">
      <c r="A1000">
        <v>998</v>
      </c>
      <c r="B1000">
        <f>B999+('Rachford-Rice-Solution'!$M$29-'Rachford-Rice-Solution'!$L$29)/999</f>
        <v>1.2623271197258215</v>
      </c>
      <c r="C1000" cm="1">
        <f t="array" ref="C1000">RR_Eq('Rachford-Rice-Solution'!$B$29,'Rachford-Rice-Solution'!$C$29,'Rachford-Rice-Solution'!$D$29,'Rachford-Rice-Solution'!$E$29,B1000)</f>
        <v>-371.82691305821544</v>
      </c>
    </row>
    <row r="1001" spans="1:3" x14ac:dyDescent="0.35">
      <c r="A1001">
        <v>999</v>
      </c>
      <c r="B1001">
        <f>B1000+('Rachford-Rice-Solution'!$M$29-'Rachford-Rice-Solution'!$L$29)/999</f>
        <v>1.2635946248768186</v>
      </c>
      <c r="C1001" cm="1">
        <f t="array" ref="C1001">RR_Eq('Rachford-Rice-Solution'!$B$29,'Rachford-Rice-Solution'!$C$29,'Rachford-Rice-Solution'!$D$29,'Rachford-Rice-Solution'!$E$29,B1001)</f>
        <v>-743.69921449266053</v>
      </c>
    </row>
    <row r="1002" spans="1:3" x14ac:dyDescent="0.35">
      <c r="A1002">
        <v>1000</v>
      </c>
      <c r="B1002">
        <f>B1001+('Rachford-Rice-Solution'!$M$29-'Rachford-Rice-Solution'!$L$29)/999</f>
        <v>1.2648621300278158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Rachford-Rice-Solution</vt:lpstr>
      <vt:lpstr>RR-Plot-Data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Markus Hays Nielsen</dc:creator>
  <cp:lastModifiedBy>Markus Hays Nielsen</cp:lastModifiedBy>
  <dcterms:created xsi:type="dcterms:W3CDTF">2021-09-27T14:30:48Z</dcterms:created>
  <dcterms:modified xsi:type="dcterms:W3CDTF">2021-09-28T10:09:30Z</dcterms:modified>
</cp:coreProperties>
</file>